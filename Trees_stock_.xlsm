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MP new\Tree_calculators\tree_calculation_Archive\To place\"/>
    </mc:Choice>
  </mc:AlternateContent>
  <xr:revisionPtr revIDLastSave="0" documentId="13_ncr:1_{72D9377D-9792-473E-8160-BD2A01F45C69}" xr6:coauthVersionLast="47" xr6:coauthVersionMax="47" xr10:uidLastSave="{00000000-0000-0000-0000-000000000000}"/>
  <bookViews>
    <workbookView xWindow="0" yWindow="0" windowWidth="23040" windowHeight="12360" xr2:uid="{00000000-000D-0000-FFFF-FFFF00000000}"/>
  </bookViews>
  <sheets>
    <sheet name="compute" sheetId="1" r:id="rId1"/>
    <sheet name="Sheet4" sheetId="7" r:id="rId2"/>
    <sheet name="pad" sheetId="8" r:id="rId3"/>
  </sheets>
  <definedNames>
    <definedName name="Button">compute!#REF!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" i="1" l="1"/>
  <c r="R4" i="1"/>
  <c r="R5" i="1"/>
  <c r="R6" i="1"/>
  <c r="R7" i="1"/>
  <c r="R8" i="1"/>
  <c r="R9" i="1"/>
  <c r="R10" i="1"/>
  <c r="R11" i="1"/>
  <c r="R12" i="1"/>
  <c r="R13" i="1"/>
  <c r="R14" i="1"/>
  <c r="R2" i="1"/>
  <c r="Q3" i="1"/>
  <c r="Q4" i="1"/>
  <c r="Q5" i="1"/>
  <c r="Q6" i="1"/>
  <c r="Q7" i="1"/>
  <c r="Q8" i="1"/>
  <c r="Q9" i="1"/>
  <c r="Q10" i="1"/>
  <c r="Q11" i="1"/>
  <c r="Q12" i="1"/>
  <c r="Q13" i="1"/>
  <c r="Q14" i="1"/>
  <c r="Q2" i="1"/>
  <c r="P3" i="1"/>
  <c r="P4" i="1"/>
  <c r="P5" i="1"/>
  <c r="P6" i="1"/>
  <c r="P7" i="1"/>
  <c r="P8" i="1"/>
  <c r="P9" i="1"/>
  <c r="P10" i="1"/>
  <c r="P11" i="1"/>
  <c r="P12" i="1"/>
  <c r="P13" i="1"/>
  <c r="P14" i="1"/>
  <c r="P2" i="1"/>
  <c r="J2" i="1"/>
  <c r="G2" i="1"/>
  <c r="B6" i="1"/>
  <c r="F257" i="1" l="1"/>
  <c r="L2" i="1"/>
  <c r="F70" i="1" l="1"/>
  <c r="F167" i="1"/>
  <c r="F202" i="1"/>
  <c r="F134" i="1"/>
  <c r="F27" i="1"/>
  <c r="F409" i="1"/>
  <c r="F75" i="1"/>
  <c r="F60" i="1"/>
  <c r="F395" i="1"/>
  <c r="F151" i="1"/>
  <c r="F111" i="1"/>
  <c r="F37" i="1"/>
  <c r="F88" i="1"/>
  <c r="F355" i="1"/>
  <c r="F85" i="1"/>
  <c r="F214" i="1"/>
  <c r="F61" i="1"/>
  <c r="F194" i="1"/>
  <c r="F393" i="1"/>
  <c r="F338" i="1"/>
  <c r="F247" i="1"/>
  <c r="F18" i="1"/>
  <c r="F342" i="1"/>
  <c r="F312" i="1"/>
  <c r="F324" i="1"/>
  <c r="F359" i="1"/>
  <c r="F411" i="1"/>
  <c r="F44" i="1"/>
  <c r="F125" i="1"/>
  <c r="F64" i="1"/>
  <c r="F326" i="1"/>
  <c r="F356" i="1"/>
  <c r="F223" i="1"/>
  <c r="F286" i="1"/>
  <c r="F255" i="1"/>
  <c r="F35" i="1"/>
  <c r="F115" i="1"/>
  <c r="F341" i="1"/>
  <c r="F15" i="1"/>
  <c r="F307" i="1"/>
  <c r="F123" i="1"/>
  <c r="F401" i="1"/>
  <c r="F207" i="1"/>
  <c r="F206" i="1"/>
  <c r="F127" i="1"/>
  <c r="F21" i="1"/>
  <c r="F179" i="1"/>
  <c r="F297" i="1"/>
  <c r="F77" i="1"/>
  <c r="F112" i="1"/>
  <c r="F283" i="1"/>
  <c r="F45" i="1"/>
  <c r="F244" i="1"/>
  <c r="F142" i="1"/>
  <c r="F368" i="1"/>
  <c r="F163" i="1"/>
  <c r="F181" i="1"/>
  <c r="F308" i="1"/>
  <c r="F159" i="1"/>
  <c r="F357" i="1"/>
  <c r="F280" i="1"/>
  <c r="F131" i="1"/>
  <c r="F187" i="1"/>
  <c r="F49" i="1"/>
  <c r="F46" i="1"/>
  <c r="F323" i="1"/>
  <c r="F289" i="1"/>
  <c r="F74" i="1"/>
  <c r="F282" i="1"/>
  <c r="F3" i="1"/>
  <c r="F325" i="1"/>
  <c r="F410" i="1"/>
  <c r="F137" i="1"/>
  <c r="F28" i="1"/>
  <c r="F354" i="1"/>
  <c r="F387" i="1"/>
  <c r="F298" i="1"/>
  <c r="F140" i="1"/>
  <c r="F249" i="1"/>
  <c r="F241" i="1"/>
  <c r="F141" i="1"/>
  <c r="F264" i="1"/>
  <c r="F281" i="1"/>
  <c r="F228" i="1"/>
  <c r="F55" i="1"/>
  <c r="F26" i="1"/>
  <c r="F381" i="1"/>
  <c r="F72" i="1"/>
  <c r="F376" i="1"/>
  <c r="F66" i="1"/>
  <c r="F344" i="1"/>
  <c r="F33" i="1"/>
  <c r="F79" i="1"/>
  <c r="F168" i="1"/>
  <c r="F373" i="1"/>
  <c r="F322" i="1"/>
  <c r="F371" i="1"/>
  <c r="F157" i="1"/>
  <c r="F268" i="1"/>
  <c r="F339" i="1"/>
  <c r="F278" i="1"/>
  <c r="F397" i="1"/>
  <c r="F396" i="1"/>
  <c r="F328" i="1"/>
  <c r="F234" i="1"/>
  <c r="F414" i="1"/>
  <c r="F386" i="1"/>
  <c r="F319" i="1"/>
  <c r="F374" i="1"/>
  <c r="F192" i="1"/>
  <c r="F291" i="1"/>
  <c r="F260" i="1"/>
  <c r="F305" i="1"/>
  <c r="F174" i="1"/>
  <c r="F73" i="1"/>
  <c r="F313" i="1"/>
  <c r="F67" i="1"/>
  <c r="F186" i="1"/>
  <c r="F337" i="1"/>
  <c r="F144" i="1"/>
  <c r="F377" i="1"/>
  <c r="F331" i="1"/>
  <c r="F133" i="1"/>
  <c r="F272" i="1"/>
  <c r="F274" i="1"/>
  <c r="F114" i="1"/>
  <c r="F31" i="1"/>
  <c r="F120" i="1"/>
  <c r="F121" i="1"/>
  <c r="F12" i="1"/>
  <c r="F277" i="1"/>
  <c r="F99" i="1"/>
  <c r="F320" i="1"/>
  <c r="F25" i="1"/>
  <c r="F303" i="1"/>
  <c r="F379" i="1"/>
  <c r="F9" i="1"/>
  <c r="F330" i="1"/>
  <c r="F224" i="1"/>
  <c r="F332" i="1"/>
  <c r="F52" i="1"/>
  <c r="F239" i="1"/>
  <c r="F370" i="1"/>
  <c r="F407" i="1"/>
  <c r="F190" i="1"/>
  <c r="F219" i="1"/>
  <c r="F253" i="1"/>
  <c r="F358" i="1"/>
  <c r="F335" i="1"/>
  <c r="F242" i="1"/>
  <c r="F101" i="1"/>
  <c r="F314" i="1"/>
  <c r="F23" i="1"/>
  <c r="F398" i="1"/>
  <c r="F276" i="1"/>
  <c r="F135" i="1"/>
  <c r="F108" i="1"/>
  <c r="F91" i="1"/>
  <c r="F90" i="1"/>
  <c r="F378" i="1"/>
  <c r="F150" i="1"/>
  <c r="F361" i="1"/>
  <c r="F6" i="1"/>
  <c r="F43" i="1"/>
  <c r="F16" i="1"/>
  <c r="F177" i="1"/>
  <c r="F267" i="1"/>
  <c r="F254" i="1"/>
  <c r="F351" i="1"/>
  <c r="F246" i="1"/>
  <c r="F180" i="1"/>
  <c r="F403" i="1"/>
  <c r="F304" i="1"/>
  <c r="F225" i="1"/>
  <c r="F34" i="1"/>
  <c r="F285" i="1"/>
  <c r="F210" i="1"/>
  <c r="F97" i="1"/>
  <c r="F98" i="1"/>
  <c r="F233" i="1"/>
  <c r="F400" i="1"/>
  <c r="F156" i="1"/>
  <c r="F22" i="1"/>
  <c r="F385" i="1"/>
  <c r="F294" i="1"/>
  <c r="F96" i="1"/>
  <c r="F105" i="1"/>
  <c r="F309" i="1"/>
  <c r="F58" i="1"/>
  <c r="F40" i="1"/>
  <c r="F375" i="1"/>
  <c r="F232" i="1"/>
  <c r="F129" i="1"/>
  <c r="F47" i="1"/>
  <c r="F175" i="1"/>
  <c r="F117" i="1"/>
  <c r="F252" i="1"/>
  <c r="F41" i="1"/>
  <c r="F270" i="1"/>
  <c r="F293" i="1"/>
  <c r="F148" i="1"/>
  <c r="F301" i="1"/>
  <c r="F69" i="1"/>
  <c r="F269" i="1"/>
  <c r="F188" i="1"/>
  <c r="F213" i="1"/>
  <c r="F139" i="1"/>
  <c r="F402" i="1"/>
  <c r="F29" i="1"/>
  <c r="F138" i="1"/>
  <c r="F193" i="1"/>
  <c r="F68" i="1"/>
  <c r="F183" i="1"/>
  <c r="F208" i="1"/>
  <c r="F110" i="1"/>
  <c r="F412" i="1"/>
  <c r="F266" i="1"/>
  <c r="F345" i="1"/>
  <c r="F24" i="1"/>
  <c r="F317" i="1"/>
  <c r="F222" i="1"/>
  <c r="F62" i="1"/>
  <c r="F384" i="1"/>
  <c r="F42" i="1"/>
  <c r="F204" i="1"/>
  <c r="F152" i="1"/>
  <c r="F248" i="1"/>
  <c r="F287" i="1"/>
  <c r="F258" i="1"/>
  <c r="F95" i="1"/>
  <c r="F93" i="1"/>
  <c r="F56" i="1"/>
  <c r="F404" i="1"/>
  <c r="F315" i="1"/>
  <c r="F390" i="1"/>
  <c r="F369" i="1"/>
  <c r="F153" i="1"/>
  <c r="F30" i="1"/>
  <c r="F191" i="1"/>
  <c r="F389" i="1"/>
  <c r="F107" i="1"/>
  <c r="F261" i="1"/>
  <c r="F38" i="1"/>
  <c r="F362" i="1"/>
  <c r="F172" i="1"/>
  <c r="F406" i="1"/>
  <c r="F299" i="1"/>
  <c r="F162" i="1"/>
  <c r="F250" i="1"/>
  <c r="F284" i="1"/>
  <c r="F366" i="1"/>
  <c r="F300" i="1"/>
  <c r="F240" i="1"/>
  <c r="F116" i="1"/>
  <c r="F48" i="1"/>
  <c r="F8" i="1"/>
  <c r="F118" i="1"/>
  <c r="F106" i="1"/>
  <c r="F230" i="1"/>
  <c r="F178" i="1"/>
  <c r="F100" i="1"/>
  <c r="F203" i="1"/>
  <c r="F350" i="1"/>
  <c r="F132" i="1"/>
  <c r="F262" i="1"/>
  <c r="F353" i="1"/>
  <c r="F119" i="1"/>
  <c r="F209" i="1"/>
  <c r="F171" i="1"/>
  <c r="F145" i="1"/>
  <c r="F126" i="1"/>
  <c r="F295" i="1"/>
  <c r="F343" i="1"/>
  <c r="F65" i="1"/>
  <c r="F5" i="1"/>
  <c r="F251" i="1"/>
  <c r="F333" i="1"/>
  <c r="F59" i="1"/>
  <c r="F346" i="1"/>
  <c r="F352" i="1"/>
  <c r="F146" i="1"/>
  <c r="F81" i="1"/>
  <c r="F405" i="1"/>
  <c r="F310" i="1"/>
  <c r="F220" i="1"/>
  <c r="F216" i="1"/>
  <c r="F235" i="1"/>
  <c r="F380" i="1"/>
  <c r="F243" i="1"/>
  <c r="F200" i="1"/>
  <c r="F36" i="1"/>
  <c r="F92" i="1"/>
  <c r="F302" i="1"/>
  <c r="F271" i="1"/>
  <c r="F161" i="1"/>
  <c r="F51" i="1"/>
  <c r="F53" i="1"/>
  <c r="F149" i="1"/>
  <c r="F176" i="1"/>
  <c r="F160" i="1"/>
  <c r="F39" i="1"/>
  <c r="F288" i="1"/>
  <c r="F273" i="1"/>
  <c r="F296" i="1"/>
  <c r="F348" i="1"/>
  <c r="F185" i="1"/>
  <c r="F164" i="1"/>
  <c r="F199" i="1"/>
  <c r="F136" i="1"/>
  <c r="F231" i="1"/>
  <c r="F221" i="1"/>
  <c r="F102" i="1"/>
  <c r="F173" i="1"/>
  <c r="F84" i="1"/>
  <c r="F20" i="1"/>
  <c r="F259" i="1"/>
  <c r="F87" i="1"/>
  <c r="F212" i="1"/>
  <c r="F166" i="1"/>
  <c r="F158" i="1"/>
  <c r="F86" i="1"/>
  <c r="F83" i="1"/>
  <c r="F211" i="1"/>
  <c r="F13" i="1"/>
  <c r="F215" i="1"/>
  <c r="F14" i="1"/>
  <c r="F80" i="1"/>
  <c r="F311" i="1"/>
  <c r="F128" i="1"/>
  <c r="F383" i="1"/>
  <c r="F306" i="1"/>
  <c r="F217" i="1"/>
  <c r="F182" i="1"/>
  <c r="F408" i="1"/>
  <c r="F318" i="1"/>
  <c r="F113" i="1"/>
  <c r="F367" i="1"/>
  <c r="F82" i="1"/>
  <c r="F104" i="1"/>
  <c r="F340" i="1"/>
  <c r="F124" i="1"/>
  <c r="F19" i="1"/>
  <c r="F265" i="1"/>
  <c r="F275" i="1"/>
  <c r="F184" i="1"/>
  <c r="F363" i="1"/>
  <c r="F169" i="1"/>
  <c r="F94" i="1"/>
  <c r="F382" i="1"/>
  <c r="F263" i="1"/>
  <c r="F32" i="1"/>
  <c r="F130" i="1"/>
  <c r="F147" i="1"/>
  <c r="F279" i="1"/>
  <c r="F189" i="1"/>
  <c r="F57" i="1"/>
  <c r="F336" i="1"/>
  <c r="F122" i="1"/>
  <c r="F364" i="1"/>
  <c r="F155" i="1"/>
  <c r="F7" i="1"/>
  <c r="F365" i="1"/>
  <c r="F109" i="1"/>
  <c r="F227" i="1"/>
  <c r="F238" i="1"/>
  <c r="F327" i="1"/>
  <c r="F391" i="1"/>
  <c r="F201" i="1"/>
  <c r="F236" i="1"/>
  <c r="F170" i="1"/>
  <c r="F4" i="1"/>
  <c r="F143" i="1"/>
  <c r="F71" i="1"/>
  <c r="F321" i="1"/>
  <c r="F245" i="1"/>
  <c r="F205" i="1"/>
  <c r="F290" i="1"/>
  <c r="F54" i="1"/>
  <c r="F11" i="1"/>
  <c r="F103" i="1"/>
  <c r="F256" i="1"/>
  <c r="F316" i="1"/>
  <c r="F237" i="1"/>
  <c r="F196" i="1"/>
  <c r="F195" i="1"/>
  <c r="F372" i="1"/>
  <c r="F399" i="1"/>
  <c r="F10" i="1"/>
  <c r="F89" i="1"/>
  <c r="F50" i="1"/>
  <c r="F349" i="1"/>
  <c r="F413" i="1"/>
  <c r="F360" i="1"/>
  <c r="F329" i="1"/>
  <c r="F347" i="1"/>
  <c r="F154" i="1"/>
  <c r="F63" i="1"/>
  <c r="F334" i="1"/>
  <c r="F226" i="1"/>
  <c r="F198" i="1"/>
  <c r="F78" i="1"/>
  <c r="F197" i="1"/>
  <c r="F229" i="1"/>
  <c r="F17" i="1"/>
  <c r="F218" i="1"/>
  <c r="F392" i="1"/>
  <c r="F388" i="1"/>
  <c r="F76" i="1"/>
  <c r="F292" i="1"/>
  <c r="F394" i="1"/>
  <c r="F165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G19" i="1" l="1"/>
  <c r="H2" i="1"/>
  <c r="K2" i="1" s="1"/>
  <c r="C413" i="7"/>
  <c r="B413" i="7"/>
  <c r="N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</author>
  </authors>
  <commentList>
    <comment ref="A1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Ed:</t>
        </r>
        <r>
          <rPr>
            <sz val="9"/>
            <color indexed="81"/>
            <rFont val="Tahoma"/>
            <family val="2"/>
          </rPr>
          <t xml:space="preserve">
सूचना: १.नवीन डेटासाठी New data दाबा. त्यामुळे सध्या दिसणारा डेटा जाईल. २. आता पहिल्या ओळीपासून पुढील निरीक्षणे अनुक्रमे टाका: वृक्ष-जात, नमुना बिंदुपासून अंतर(मी.), गोलाई(से.मी.) ३. सर्व deta भरून झाल्यावर  एकूण बिंदू व निरंक बिंदू संख्या टाका. Compute बटण दाबा.  अपेक्षित उत्तर T,U,V,W या कॉलम मध्ये मिळेल. ते copy करा. व आपल्याला हव्या असणाऱ्या ठिकाणी सेव्ह करा.</t>
        </r>
      </text>
    </comment>
  </commentList>
</comments>
</file>

<file path=xl/sharedStrings.xml><?xml version="1.0" encoding="utf-8"?>
<sst xmlns="http://schemas.openxmlformats.org/spreadsheetml/2006/main" count="877" uniqueCount="38">
  <si>
    <t>tot qtrs</t>
  </si>
  <si>
    <t>avg R</t>
  </si>
  <si>
    <t>1/(R*R)</t>
  </si>
  <si>
    <t>corr fact</t>
  </si>
  <si>
    <t>non-vac qtr</t>
  </si>
  <si>
    <t>species</t>
  </si>
  <si>
    <t>dist - R</t>
  </si>
  <si>
    <t>GBH - C</t>
  </si>
  <si>
    <t>Qrtrs found</t>
  </si>
  <si>
    <t>Trees per ha</t>
  </si>
  <si>
    <t>Basal Area per ha (sq.m)</t>
  </si>
  <si>
    <t>species name</t>
  </si>
  <si>
    <t>Basal area - A</t>
  </si>
  <si>
    <t>Enter tot pts</t>
  </si>
  <si>
    <t>Enter species name, Distance from Point and GBH in columns C,E and F respectively</t>
  </si>
  <si>
    <t>Enter vacant qtrs</t>
  </si>
  <si>
    <t>ओडच्या</t>
  </si>
  <si>
    <t>मरका</t>
  </si>
  <si>
    <t>वडमा</t>
  </si>
  <si>
    <t>तेक्का</t>
  </si>
  <si>
    <t>नल्ली</t>
  </si>
  <si>
    <t>तुमरी</t>
  </si>
  <si>
    <t>मरदी</t>
  </si>
  <si>
    <t>रेखा</t>
  </si>
  <si>
    <t>ईरपी</t>
  </si>
  <si>
    <t>कोजुब</t>
  </si>
  <si>
    <t>पालोड</t>
  </si>
  <si>
    <t>चहमुराड</t>
  </si>
  <si>
    <t>नेंडी</t>
  </si>
  <si>
    <t xml:space="preserve">ग्रामसभा कोड-नाव </t>
  </si>
  <si>
    <t xml:space="preserve">भुदृश्य प्रकार </t>
  </si>
  <si>
    <t xml:space="preserve">सूचनेसाठी कॉमेंट पहा </t>
  </si>
  <si>
    <t xml:space="preserve">वृक्ष </t>
  </si>
  <si>
    <t xml:space="preserve">चतकोर संख्या </t>
  </si>
  <si>
    <t xml:space="preserve">वृक्ष संख्या प्रती हेक्टर </t>
  </si>
  <si>
    <t>खोड क्षेत्रफळ प्रती हे (चौ.मी.)</t>
  </si>
  <si>
    <t>निरंक चतकोर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</si>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</sst>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0000"/>
    <numFmt numFmtId="165" formatCode="[$-4000439]0.#"/>
    <numFmt numFmtId="166" formatCode="0.00000"/>
    <numFmt numFmtId="167" formatCode="0.000000"/>
    <numFmt numFmtId="168" formatCode="0.0000000"/>
  </numFmts>
  <fonts count="7">
    <font>
      <sz val="11"/>
      <color theme="1"/>
      <name val="Calibri"/>
      <family val="2"/>
      <scheme val="minor"/>
    </font>
    <font>
      <sz val="11"/>
      <color theme="1"/>
      <name val="Arial Unicode MS"/>
      <family val="2"/>
    </font>
    <font>
      <sz val="11"/>
      <color rgb="FF000000"/>
      <name val="Arial Unicode MS"/>
      <family val="2"/>
    </font>
    <font>
      <sz val="11"/>
      <color rgb="FFC00000"/>
      <name val="Arial Unicode MS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Fill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2" borderId="0" xfId="0" applyFill="1"/>
    <xf numFmtId="165" fontId="0" fillId="0" borderId="0" xfId="0" applyNumberFormat="1"/>
    <xf numFmtId="0" fontId="0" fillId="0" borderId="0" xfId="0" applyProtection="1">
      <protection locked="0"/>
    </xf>
    <xf numFmtId="2" fontId="0" fillId="0" borderId="2" xfId="0" applyNumberFormat="1" applyBorder="1" applyProtection="1">
      <protection locked="0"/>
    </xf>
    <xf numFmtId="0" fontId="2" fillId="0" borderId="1" xfId="0" applyFont="1" applyBorder="1" applyAlignment="1" applyProtection="1">
      <alignment vertical="top"/>
      <protection locked="0"/>
    </xf>
    <xf numFmtId="0" fontId="0" fillId="0" borderId="0" xfId="0" applyFill="1" applyAlignment="1" applyProtection="1">
      <alignment horizontal="center"/>
    </xf>
    <xf numFmtId="2" fontId="0" fillId="2" borderId="0" xfId="0" applyNumberFormat="1" applyFill="1" applyProtection="1"/>
    <xf numFmtId="0" fontId="0" fillId="0" borderId="0" xfId="0" applyAlignment="1" applyProtection="1">
      <alignment vertical="center" wrapText="1"/>
    </xf>
    <xf numFmtId="0" fontId="0" fillId="0" borderId="0" xfId="0" applyProtection="1"/>
    <xf numFmtId="166" fontId="0" fillId="0" borderId="2" xfId="0" applyNumberFormat="1" applyBorder="1" applyProtection="1"/>
    <xf numFmtId="0" fontId="0" fillId="0" borderId="2" xfId="0" applyBorder="1" applyAlignment="1" applyProtection="1">
      <alignment vertical="center" wrapText="1"/>
    </xf>
    <xf numFmtId="0" fontId="0" fillId="0" borderId="2" xfId="0" applyFill="1" applyBorder="1" applyAlignment="1" applyProtection="1">
      <alignment vertical="center" wrapText="1"/>
    </xf>
    <xf numFmtId="0" fontId="0" fillId="0" borderId="2" xfId="0" applyBorder="1" applyProtection="1"/>
    <xf numFmtId="0" fontId="0" fillId="0" borderId="2" xfId="0" applyFill="1" applyBorder="1" applyProtection="1"/>
    <xf numFmtId="0" fontId="0" fillId="0" borderId="0" xfId="0" applyFill="1" applyProtection="1"/>
    <xf numFmtId="164" fontId="0" fillId="0" borderId="0" xfId="0" applyNumberFormat="1" applyProtection="1"/>
    <xf numFmtId="0" fontId="0" fillId="0" borderId="2" xfId="0" applyFill="1" applyBorder="1" applyAlignment="1" applyProtection="1">
      <alignment vertical="top" wrapText="1"/>
    </xf>
    <xf numFmtId="0" fontId="0" fillId="0" borderId="3" xfId="0" applyBorder="1" applyProtection="1"/>
    <xf numFmtId="0" fontId="1" fillId="0" borderId="1" xfId="0" applyFont="1" applyBorder="1" applyAlignment="1">
      <alignment vertical="top"/>
    </xf>
    <xf numFmtId="0" fontId="1" fillId="0" borderId="2" xfId="0" applyFont="1" applyFill="1" applyBorder="1"/>
    <xf numFmtId="0" fontId="1" fillId="0" borderId="2" xfId="0" applyFont="1" applyBorder="1" applyAlignment="1">
      <alignment vertical="top"/>
    </xf>
    <xf numFmtId="0" fontId="1" fillId="0" borderId="2" xfId="0" applyFont="1" applyFill="1" applyBorder="1" applyAlignment="1">
      <alignment vertical="top"/>
    </xf>
    <xf numFmtId="0" fontId="1" fillId="0" borderId="2" xfId="0" applyFont="1" applyBorder="1"/>
    <xf numFmtId="0" fontId="0" fillId="0" borderId="1" xfId="0" applyBorder="1" applyAlignment="1"/>
    <xf numFmtId="0" fontId="0" fillId="0" borderId="2" xfId="0" applyBorder="1"/>
    <xf numFmtId="0" fontId="3" fillId="0" borderId="2" xfId="0" applyFont="1" applyBorder="1" applyAlignment="1">
      <alignment vertical="top"/>
    </xf>
    <xf numFmtId="0" fontId="1" fillId="0" borderId="4" xfId="0" applyFont="1" applyBorder="1" applyAlignment="1">
      <alignment vertical="top"/>
    </xf>
    <xf numFmtId="0" fontId="1" fillId="0" borderId="4" xfId="0" applyFont="1" applyFill="1" applyBorder="1" applyAlignment="1">
      <alignment vertical="top"/>
    </xf>
    <xf numFmtId="0" fontId="1" fillId="0" borderId="1" xfId="0" applyFont="1" applyBorder="1" applyAlignment="1"/>
    <xf numFmtId="0" fontId="1" fillId="0" borderId="2" xfId="0" applyFont="1" applyBorder="1" applyAlignment="1"/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0" fillId="0" borderId="0" xfId="0" applyAlignment="1"/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0" fontId="0" fillId="0" borderId="2" xfId="0" applyFill="1" applyBorder="1" applyAlignment="1">
      <alignment vertical="center" wrapText="1"/>
    </xf>
    <xf numFmtId="0" fontId="0" fillId="2" borderId="2" xfId="0" applyFill="1" applyBorder="1" applyProtection="1"/>
    <xf numFmtId="0" fontId="0" fillId="0" borderId="0" xfId="0" applyAlignment="1" applyProtection="1">
      <alignment horizontal="center" vertical="top"/>
      <protection locked="0"/>
    </xf>
    <xf numFmtId="0" fontId="0" fillId="0" borderId="0" xfId="0" applyAlignment="1" applyProtection="1">
      <protection locked="0"/>
    </xf>
    <xf numFmtId="167" fontId="0" fillId="2" borderId="0" xfId="0" applyNumberFormat="1" applyFill="1" applyProtection="1"/>
    <xf numFmtId="0" fontId="0" fillId="0" borderId="0" xfId="0" applyBorder="1"/>
    <xf numFmtId="0" fontId="0" fillId="0" borderId="0" xfId="0" applyBorder="1" applyProtection="1">
      <protection locked="0"/>
    </xf>
    <xf numFmtId="164" fontId="0" fillId="0" borderId="4" xfId="0" applyNumberFormat="1" applyBorder="1" applyAlignment="1" applyProtection="1">
      <alignment vertical="center" wrapText="1"/>
    </xf>
    <xf numFmtId="164" fontId="0" fillId="0" borderId="4" xfId="0" applyNumberFormat="1" applyBorder="1" applyProtection="1">
      <protection locked="0"/>
    </xf>
    <xf numFmtId="164" fontId="0" fillId="0" borderId="0" xfId="0" applyNumberFormat="1" applyBorder="1" applyProtection="1">
      <protection locked="0"/>
    </xf>
    <xf numFmtId="0" fontId="0" fillId="2" borderId="5" xfId="0" applyFill="1" applyBorder="1"/>
    <xf numFmtId="0" fontId="0" fillId="2" borderId="6" xfId="0" applyFill="1" applyBorder="1"/>
    <xf numFmtId="164" fontId="0" fillId="0" borderId="0" xfId="0" applyNumberFormat="1" applyBorder="1" applyAlignment="1" applyProtection="1">
      <protection locked="0"/>
    </xf>
    <xf numFmtId="168" fontId="0" fillId="0" borderId="0" xfId="0" applyNumberFormat="1"/>
    <xf numFmtId="168" fontId="0" fillId="0" borderId="0" xfId="0" applyNumberFormat="1" applyBorder="1" applyProtection="1"/>
    <xf numFmtId="0" fontId="0" fillId="0" borderId="1" xfId="0" applyBorder="1" applyProtection="1">
      <protection locked="0"/>
    </xf>
    <xf numFmtId="0" fontId="0" fillId="0" borderId="0" xfId="0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0</xdr:row>
          <xdr:rowOff>152400</xdr:rowOff>
        </xdr:from>
        <xdr:to>
          <xdr:col>1</xdr:col>
          <xdr:colOff>220980</xdr:colOff>
          <xdr:row>0</xdr:row>
          <xdr:rowOff>381000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7</xdr:row>
          <xdr:rowOff>68580</xdr:rowOff>
        </xdr:from>
        <xdr:to>
          <xdr:col>0</xdr:col>
          <xdr:colOff>1135380</xdr:colOff>
          <xdr:row>8</xdr:row>
          <xdr:rowOff>152400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9</xdr:row>
          <xdr:rowOff>99060</xdr:rowOff>
        </xdr:from>
        <xdr:to>
          <xdr:col>0</xdr:col>
          <xdr:colOff>1127760</xdr:colOff>
          <xdr:row>11</xdr:row>
          <xdr:rowOff>30480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W1018"/>
  <sheetViews>
    <sheetView tabSelected="1" workbookViewId="0">
      <selection activeCell="M18" sqref="M18"/>
    </sheetView>
  </sheetViews>
  <sheetFormatPr defaultRowHeight="14.4"/>
  <cols>
    <col min="1" max="1" width="23.33203125" customWidth="1"/>
    <col min="2" max="2" width="7.33203125" customWidth="1"/>
    <col min="3" max="5" width="10.6640625" style="7" customWidth="1"/>
    <col min="6" max="6" width="14.44140625" style="13" hidden="1" customWidth="1"/>
    <col min="7" max="9" width="10.6640625" hidden="1" customWidth="1"/>
    <col min="10" max="12" width="12.44140625" hidden="1" customWidth="1"/>
    <col min="13" max="13" width="12.44140625" customWidth="1"/>
    <col min="14" max="14" width="12.44140625" hidden="1" customWidth="1"/>
    <col min="15" max="15" width="12.44140625" style="17" hidden="1" customWidth="1"/>
    <col min="16" max="16" width="12.44140625" style="13" hidden="1" customWidth="1"/>
    <col min="17" max="17" width="12.44140625" style="19" hidden="1" customWidth="1"/>
    <col min="18" max="18" width="12.44140625" style="20" hidden="1" customWidth="1"/>
    <col min="19" max="19" width="5" style="46" customWidth="1"/>
    <col min="20" max="21" width="10.6640625" customWidth="1"/>
    <col min="22" max="22" width="11.109375" customWidth="1"/>
    <col min="23" max="23" width="15.88671875" customWidth="1"/>
  </cols>
  <sheetData>
    <row r="1" spans="1:23" s="2" customFormat="1" ht="32.25" customHeight="1" thickBot="1">
      <c r="A1" s="38" t="s">
        <v>29</v>
      </c>
      <c r="B1" s="38"/>
      <c r="C1" s="56" t="s">
        <v>14</v>
      </c>
      <c r="D1" s="56"/>
      <c r="E1" s="56"/>
      <c r="F1" s="12"/>
      <c r="G1" s="1" t="s">
        <v>1</v>
      </c>
      <c r="H1" s="1" t="s">
        <v>2</v>
      </c>
      <c r="J1" s="1" t="s">
        <v>3</v>
      </c>
      <c r="K1" s="2" t="s">
        <v>34</v>
      </c>
      <c r="L1" s="1" t="s">
        <v>36</v>
      </c>
      <c r="M1" s="2" t="s">
        <v>34</v>
      </c>
      <c r="N1" s="2" t="s">
        <v>4</v>
      </c>
      <c r="O1" s="21" t="s">
        <v>11</v>
      </c>
      <c r="P1" s="15" t="s">
        <v>8</v>
      </c>
      <c r="Q1" s="16" t="s">
        <v>9</v>
      </c>
      <c r="R1" s="47" t="s">
        <v>10</v>
      </c>
      <c r="S1"/>
      <c r="T1" s="2" t="s">
        <v>32</v>
      </c>
      <c r="U1" s="2" t="s">
        <v>33</v>
      </c>
      <c r="V1" s="2" t="s">
        <v>34</v>
      </c>
      <c r="W1" s="2" t="s">
        <v>35</v>
      </c>
    </row>
    <row r="2" spans="1:23" ht="15" thickBot="1">
      <c r="A2" s="7" t="s">
        <v>37</v>
      </c>
      <c r="C2" s="3" t="s">
        <v>5</v>
      </c>
      <c r="D2" s="4" t="s">
        <v>6</v>
      </c>
      <c r="E2" s="4" t="s">
        <v>7</v>
      </c>
      <c r="F2" s="10" t="s">
        <v>12</v>
      </c>
      <c r="G2" s="11">
        <f>AVERAGE(D3:D1003)</f>
        <v>7.5707864077669855</v>
      </c>
      <c r="H2" s="44">
        <f>1/(G2*G2)</f>
        <v>1.744688958215285E-2</v>
      </c>
      <c r="J2" s="50" t="e">
        <f>(1-B7/B6)</f>
        <v>#DIV/0!</v>
      </c>
      <c r="K2" s="51" t="e">
        <f>H2*J2*10000</f>
        <v>#DIV/0!</v>
      </c>
      <c r="L2" s="5">
        <f>B7</f>
        <v>0</v>
      </c>
      <c r="M2">
        <v>171.14567875826128</v>
      </c>
      <c r="N2" s="5">
        <f>B6-B7</f>
        <v>0</v>
      </c>
      <c r="O2" s="23" t="s">
        <v>24</v>
      </c>
      <c r="P2" s="9">
        <f>COUNTIF(C3:C1002,O2)</f>
        <v>18</v>
      </c>
      <c r="Q2" s="18">
        <f>P2*171.145678758261/412</f>
        <v>7.4772383923512091</v>
      </c>
      <c r="R2" s="48">
        <f>AVERAGEIF(C3:C1002,O2,F3:F1002)*Q2</f>
        <v>1.4720159930256582</v>
      </c>
      <c r="S2" s="49"/>
      <c r="T2" t="s">
        <v>24</v>
      </c>
      <c r="U2">
        <v>18</v>
      </c>
      <c r="V2">
        <v>7.4772383923512091</v>
      </c>
      <c r="W2">
        <v>1.4720159930256582</v>
      </c>
    </row>
    <row r="3" spans="1:23">
      <c r="A3" s="42" t="s">
        <v>30</v>
      </c>
      <c r="B3" s="39"/>
      <c r="C3" s="23" t="s">
        <v>24</v>
      </c>
      <c r="D3" s="25">
        <v>15.8</v>
      </c>
      <c r="E3" s="25">
        <v>14</v>
      </c>
      <c r="F3" s="54">
        <f t="shared" ref="F3:F66" si="0">E3*E3/(4*PI()*10000)</f>
        <v>1.5597184423005743E-3</v>
      </c>
      <c r="O3" s="23" t="s">
        <v>16</v>
      </c>
      <c r="P3" s="9">
        <f t="shared" ref="P3:P14" si="1">COUNTIF(C4:C1003,O3)</f>
        <v>152</v>
      </c>
      <c r="Q3" s="18">
        <f t="shared" ref="Q3:Q14" si="2">P3*171.145678758261/412</f>
        <v>63.141124202076874</v>
      </c>
      <c r="R3" s="48">
        <f t="shared" ref="R3:R14" si="3">AVERAGEIF(C4:C1003,O3,F4:F1003)*Q3</f>
        <v>1.770980348392569</v>
      </c>
      <c r="S3" s="49"/>
      <c r="T3" t="s">
        <v>16</v>
      </c>
      <c r="U3">
        <v>152</v>
      </c>
      <c r="V3">
        <v>63.141124202076874</v>
      </c>
      <c r="W3">
        <v>1.770980348392569</v>
      </c>
    </row>
    <row r="4" spans="1:23">
      <c r="A4" s="43"/>
      <c r="B4" s="37"/>
      <c r="C4" s="23" t="s">
        <v>24</v>
      </c>
      <c r="D4" s="25">
        <v>4.0999999999999996</v>
      </c>
      <c r="E4" s="25">
        <v>46</v>
      </c>
      <c r="F4" s="54">
        <f t="shared" si="0"/>
        <v>1.6838592979122526E-2</v>
      </c>
      <c r="O4" s="23" t="s">
        <v>25</v>
      </c>
      <c r="P4" s="9">
        <f t="shared" si="1"/>
        <v>12</v>
      </c>
      <c r="Q4" s="18">
        <f t="shared" si="2"/>
        <v>4.9848255949008049</v>
      </c>
      <c r="R4" s="48">
        <f t="shared" si="3"/>
        <v>0.95892056680953974</v>
      </c>
      <c r="S4" s="49"/>
      <c r="T4" t="s">
        <v>25</v>
      </c>
      <c r="U4">
        <v>12</v>
      </c>
      <c r="V4">
        <v>4.9848255949008049</v>
      </c>
      <c r="W4">
        <v>0.95892056680953974</v>
      </c>
    </row>
    <row r="5" spans="1:23" ht="15.75" customHeight="1">
      <c r="A5" s="40" t="s">
        <v>13</v>
      </c>
      <c r="B5" s="7">
        <v>0</v>
      </c>
      <c r="C5" s="23" t="s">
        <v>24</v>
      </c>
      <c r="D5" s="25">
        <v>3.96</v>
      </c>
      <c r="E5" s="25">
        <v>15</v>
      </c>
      <c r="F5" s="54">
        <f t="shared" si="0"/>
        <v>1.7904931097838226E-3</v>
      </c>
      <c r="O5" s="23" t="s">
        <v>27</v>
      </c>
      <c r="P5" s="9">
        <f t="shared" si="1"/>
        <v>15</v>
      </c>
      <c r="Q5" s="18">
        <f t="shared" si="2"/>
        <v>6.231031993626007</v>
      </c>
      <c r="R5" s="48">
        <f t="shared" si="3"/>
        <v>4.7261094523227729E-2</v>
      </c>
      <c r="S5" s="49"/>
      <c r="T5" t="s">
        <v>27</v>
      </c>
      <c r="U5">
        <v>15</v>
      </c>
      <c r="V5">
        <v>6.231031993626007</v>
      </c>
      <c r="W5">
        <v>4.7261094523227729E-2</v>
      </c>
    </row>
    <row r="6" spans="1:23">
      <c r="A6" s="40" t="s">
        <v>0</v>
      </c>
      <c r="B6" s="41">
        <f>B5*4</f>
        <v>0</v>
      </c>
      <c r="C6" s="23" t="s">
        <v>24</v>
      </c>
      <c r="D6" s="25">
        <v>20</v>
      </c>
      <c r="E6" s="25">
        <v>157</v>
      </c>
      <c r="F6" s="54">
        <f t="shared" si="0"/>
        <v>0.19615050961360642</v>
      </c>
      <c r="O6" s="23" t="s">
        <v>21</v>
      </c>
      <c r="P6" s="9">
        <f t="shared" si="1"/>
        <v>51</v>
      </c>
      <c r="Q6" s="18">
        <f t="shared" si="2"/>
        <v>21.185508778328423</v>
      </c>
      <c r="R6" s="48">
        <f t="shared" si="3"/>
        <v>1.1277904705459243</v>
      </c>
      <c r="S6" s="49"/>
      <c r="T6" t="s">
        <v>21</v>
      </c>
      <c r="U6">
        <v>51</v>
      </c>
      <c r="V6">
        <v>21.185508778328423</v>
      </c>
      <c r="W6">
        <v>1.1277904705459243</v>
      </c>
    </row>
    <row r="7" spans="1:23">
      <c r="A7" s="40" t="s">
        <v>15</v>
      </c>
      <c r="B7" s="7">
        <v>0</v>
      </c>
      <c r="C7" s="23" t="s">
        <v>24</v>
      </c>
      <c r="D7" s="25">
        <v>4.5999999999999996</v>
      </c>
      <c r="E7" s="25">
        <v>157</v>
      </c>
      <c r="F7" s="54">
        <f t="shared" si="0"/>
        <v>0.19615050961360642</v>
      </c>
      <c r="O7" s="23" t="s">
        <v>19</v>
      </c>
      <c r="P7" s="9">
        <f t="shared" si="1"/>
        <v>47</v>
      </c>
      <c r="Q7" s="18">
        <f t="shared" si="2"/>
        <v>19.523900246694822</v>
      </c>
      <c r="R7" s="48">
        <f t="shared" si="3"/>
        <v>1.752838858097858</v>
      </c>
      <c r="S7" s="49"/>
      <c r="T7" t="s">
        <v>19</v>
      </c>
      <c r="U7">
        <v>47</v>
      </c>
      <c r="V7">
        <v>19.523900246694822</v>
      </c>
      <c r="W7">
        <v>1.752838858097858</v>
      </c>
    </row>
    <row r="8" spans="1:23" ht="18" customHeight="1">
      <c r="C8" s="23" t="s">
        <v>24</v>
      </c>
      <c r="D8" s="25">
        <v>33</v>
      </c>
      <c r="E8" s="25">
        <v>173</v>
      </c>
      <c r="F8" s="54">
        <f t="shared" si="0"/>
        <v>0.23816741458986679</v>
      </c>
      <c r="O8" s="23" t="s">
        <v>20</v>
      </c>
      <c r="P8" s="9">
        <f t="shared" si="1"/>
        <v>10</v>
      </c>
      <c r="Q8" s="18">
        <f t="shared" si="2"/>
        <v>4.1540213290840047</v>
      </c>
      <c r="R8" s="48">
        <f t="shared" si="3"/>
        <v>9.9599690703284005E-2</v>
      </c>
      <c r="S8" s="49"/>
      <c r="T8" t="s">
        <v>20</v>
      </c>
      <c r="U8">
        <v>10</v>
      </c>
      <c r="V8">
        <v>4.1540213290840047</v>
      </c>
      <c r="W8">
        <v>9.9599690703284005E-2</v>
      </c>
    </row>
    <row r="9" spans="1:23">
      <c r="C9" s="23" t="s">
        <v>24</v>
      </c>
      <c r="D9" s="25">
        <v>14</v>
      </c>
      <c r="E9" s="25">
        <v>60</v>
      </c>
      <c r="F9" s="54">
        <f t="shared" si="0"/>
        <v>2.8647889756541162E-2</v>
      </c>
      <c r="O9" s="23" t="s">
        <v>28</v>
      </c>
      <c r="P9" s="9">
        <f t="shared" si="1"/>
        <v>1</v>
      </c>
      <c r="Q9" s="18">
        <f t="shared" si="2"/>
        <v>0.4154021329084005</v>
      </c>
      <c r="R9" s="48">
        <f t="shared" si="3"/>
        <v>5.1651017830694083E-2</v>
      </c>
      <c r="S9" s="49"/>
      <c r="T9" t="s">
        <v>28</v>
      </c>
      <c r="U9">
        <v>1</v>
      </c>
      <c r="V9">
        <v>0.4154021329084005</v>
      </c>
      <c r="W9">
        <v>5.1651017830694083E-2</v>
      </c>
    </row>
    <row r="10" spans="1:23">
      <c r="C10" s="23" t="s">
        <v>24</v>
      </c>
      <c r="D10" s="25">
        <v>23.8</v>
      </c>
      <c r="E10" s="25">
        <v>300</v>
      </c>
      <c r="F10" s="54">
        <f t="shared" si="0"/>
        <v>0.71619724391352901</v>
      </c>
      <c r="O10" s="23" t="s">
        <v>26</v>
      </c>
      <c r="P10" s="9">
        <f t="shared" si="1"/>
        <v>5</v>
      </c>
      <c r="Q10" s="18">
        <f t="shared" si="2"/>
        <v>2.0770106645420023</v>
      </c>
      <c r="R10" s="48">
        <f t="shared" si="3"/>
        <v>2.1652106674626959E-2</v>
      </c>
      <c r="S10" s="49"/>
      <c r="T10" t="s">
        <v>26</v>
      </c>
      <c r="U10">
        <v>5</v>
      </c>
      <c r="V10">
        <v>2.0770106645420023</v>
      </c>
      <c r="W10">
        <v>2.1652106674626959E-2</v>
      </c>
    </row>
    <row r="11" spans="1:23">
      <c r="C11" s="23" t="s">
        <v>24</v>
      </c>
      <c r="D11" s="25">
        <v>20.100000000000001</v>
      </c>
      <c r="E11" s="25">
        <v>320</v>
      </c>
      <c r="F11" s="54">
        <f t="shared" si="0"/>
        <v>0.81487330863050411</v>
      </c>
      <c r="O11" s="23" t="s">
        <v>17</v>
      </c>
      <c r="P11" s="9">
        <f t="shared" si="1"/>
        <v>11</v>
      </c>
      <c r="Q11" s="18">
        <f t="shared" si="2"/>
        <v>4.5694234619924048</v>
      </c>
      <c r="R11" s="48">
        <f t="shared" si="3"/>
        <v>0.13972054852159657</v>
      </c>
      <c r="S11" s="49"/>
      <c r="T11" t="s">
        <v>17</v>
      </c>
      <c r="U11">
        <v>11</v>
      </c>
      <c r="V11">
        <v>4.5694234619924048</v>
      </c>
      <c r="W11">
        <v>0.13972054852159657</v>
      </c>
    </row>
    <row r="12" spans="1:23">
      <c r="C12" s="23" t="s">
        <v>24</v>
      </c>
      <c r="D12" s="25">
        <v>8</v>
      </c>
      <c r="E12" s="25">
        <v>225</v>
      </c>
      <c r="F12" s="54">
        <f t="shared" si="0"/>
        <v>0.40286094970136005</v>
      </c>
      <c r="O12" s="28" t="s">
        <v>22</v>
      </c>
      <c r="P12" s="9">
        <f t="shared" si="1"/>
        <v>44</v>
      </c>
      <c r="Q12" s="18">
        <f t="shared" si="2"/>
        <v>18.277693847969619</v>
      </c>
      <c r="R12" s="48">
        <f t="shared" si="3"/>
        <v>1.5405556540625609</v>
      </c>
      <c r="S12" s="49"/>
      <c r="T12" t="s">
        <v>22</v>
      </c>
      <c r="U12">
        <v>44</v>
      </c>
      <c r="V12">
        <v>18.277693847969619</v>
      </c>
      <c r="W12">
        <v>1.5405556540625609</v>
      </c>
    </row>
    <row r="13" spans="1:23" s="37" customFormat="1">
      <c r="A13" s="37" t="s">
        <v>31</v>
      </c>
      <c r="C13" s="23" t="s">
        <v>24</v>
      </c>
      <c r="D13" s="25">
        <v>26.3</v>
      </c>
      <c r="E13" s="25">
        <v>300</v>
      </c>
      <c r="F13" s="54">
        <f t="shared" si="0"/>
        <v>0.71619724391352901</v>
      </c>
      <c r="O13" s="23" t="s">
        <v>23</v>
      </c>
      <c r="P13" s="9">
        <f t="shared" si="1"/>
        <v>19</v>
      </c>
      <c r="Q13" s="18">
        <f t="shared" si="2"/>
        <v>7.8926405252596092</v>
      </c>
      <c r="R13" s="48">
        <f t="shared" si="3"/>
        <v>0.13904949849794024</v>
      </c>
      <c r="S13" s="52"/>
      <c r="T13" t="s">
        <v>23</v>
      </c>
      <c r="U13">
        <v>19</v>
      </c>
      <c r="V13">
        <v>7.8926405252596092</v>
      </c>
      <c r="W13">
        <v>0.13904949849794024</v>
      </c>
    </row>
    <row r="14" spans="1:23">
      <c r="C14" s="23" t="s">
        <v>24</v>
      </c>
      <c r="D14" s="26">
        <v>4.7699999999999996</v>
      </c>
      <c r="E14" s="26">
        <v>17</v>
      </c>
      <c r="F14" s="54">
        <f t="shared" si="0"/>
        <v>2.2997889276778877E-3</v>
      </c>
      <c r="O14" s="23" t="s">
        <v>18</v>
      </c>
      <c r="P14" s="9">
        <f t="shared" si="1"/>
        <v>27</v>
      </c>
      <c r="Q14" s="18">
        <f t="shared" si="2"/>
        <v>11.215857588526813</v>
      </c>
      <c r="R14" s="48">
        <f t="shared" si="3"/>
        <v>0.51248387816500252</v>
      </c>
      <c r="S14" s="49"/>
      <c r="T14" t="s">
        <v>18</v>
      </c>
      <c r="U14">
        <v>27</v>
      </c>
      <c r="V14">
        <v>11.215857588526813</v>
      </c>
      <c r="W14">
        <v>0.51248387816500252</v>
      </c>
    </row>
    <row r="15" spans="1:23">
      <c r="C15" s="23" t="s">
        <v>24</v>
      </c>
      <c r="D15" s="26">
        <v>12.86</v>
      </c>
      <c r="E15" s="26">
        <v>16</v>
      </c>
      <c r="F15" s="54">
        <f t="shared" si="0"/>
        <v>2.0371832715762603E-3</v>
      </c>
      <c r="O15"/>
      <c r="P15"/>
      <c r="Q15"/>
      <c r="R15"/>
      <c r="S15" s="45"/>
    </row>
    <row r="16" spans="1:23">
      <c r="C16" s="33" t="s">
        <v>24</v>
      </c>
      <c r="D16" s="34">
        <v>9</v>
      </c>
      <c r="E16" s="34">
        <v>16</v>
      </c>
      <c r="F16" s="54">
        <f t="shared" si="0"/>
        <v>2.0371832715762603E-3</v>
      </c>
      <c r="O16"/>
      <c r="P16"/>
      <c r="Q16"/>
      <c r="R16"/>
      <c r="S16" s="45"/>
    </row>
    <row r="17" spans="3:19">
      <c r="C17" s="33" t="s">
        <v>24</v>
      </c>
      <c r="D17" s="34">
        <v>7.1</v>
      </c>
      <c r="E17" s="34">
        <v>90</v>
      </c>
      <c r="F17" s="54">
        <f t="shared" si="0"/>
        <v>6.4457751952217618E-2</v>
      </c>
      <c r="O17"/>
      <c r="P17"/>
      <c r="Q17"/>
      <c r="R17"/>
      <c r="S17" s="45"/>
    </row>
    <row r="18" spans="3:19">
      <c r="C18" s="33" t="s">
        <v>24</v>
      </c>
      <c r="D18" s="34">
        <v>2.5</v>
      </c>
      <c r="E18" s="34">
        <v>121</v>
      </c>
      <c r="F18" s="54">
        <f t="shared" si="0"/>
        <v>0.11650937609042199</v>
      </c>
      <c r="O18"/>
      <c r="P18"/>
      <c r="Q18"/>
      <c r="R18"/>
      <c r="S18" s="45"/>
    </row>
    <row r="19" spans="3:19">
      <c r="C19" s="28" t="s">
        <v>24</v>
      </c>
      <c r="D19" s="27">
        <v>5.25</v>
      </c>
      <c r="E19" s="27">
        <v>43</v>
      </c>
      <c r="F19" s="54">
        <f t="shared" si="0"/>
        <v>1.4713874488845724E-2</v>
      </c>
      <c r="G19" s="53">
        <f>SUM(F3:F20)/18*Q2</f>
        <v>1.4720159930256582</v>
      </c>
      <c r="O19"/>
      <c r="P19"/>
      <c r="Q19"/>
      <c r="R19"/>
      <c r="S19" s="45"/>
    </row>
    <row r="20" spans="3:19">
      <c r="C20" s="33" t="s">
        <v>24</v>
      </c>
      <c r="D20" s="34">
        <v>5.55</v>
      </c>
      <c r="E20" s="34">
        <v>39</v>
      </c>
      <c r="F20" s="54">
        <f t="shared" si="0"/>
        <v>1.210373342213864E-2</v>
      </c>
      <c r="O20"/>
      <c r="P20"/>
      <c r="Q20"/>
      <c r="R20"/>
      <c r="S20" s="45"/>
    </row>
    <row r="21" spans="3:19">
      <c r="C21" s="23" t="s">
        <v>16</v>
      </c>
      <c r="D21" s="24">
        <v>8.1999999999999993</v>
      </c>
      <c r="E21" s="24">
        <v>36</v>
      </c>
      <c r="F21" s="54">
        <f t="shared" si="0"/>
        <v>1.0313240312354819E-2</v>
      </c>
      <c r="O21"/>
      <c r="P21"/>
      <c r="Q21"/>
      <c r="R21"/>
      <c r="S21" s="45"/>
    </row>
    <row r="22" spans="3:19">
      <c r="C22" s="23" t="s">
        <v>16</v>
      </c>
      <c r="D22" s="26">
        <v>20.52</v>
      </c>
      <c r="E22" s="26">
        <v>34</v>
      </c>
      <c r="F22" s="54">
        <f t="shared" si="0"/>
        <v>9.1991557107115509E-3</v>
      </c>
      <c r="O22"/>
      <c r="P22"/>
      <c r="Q22"/>
      <c r="R22"/>
      <c r="S22" s="45"/>
    </row>
    <row r="23" spans="3:19">
      <c r="C23" s="23" t="s">
        <v>16</v>
      </c>
      <c r="D23" s="26">
        <v>2.4</v>
      </c>
      <c r="E23" s="26">
        <v>49</v>
      </c>
      <c r="F23" s="54">
        <f t="shared" si="0"/>
        <v>1.9106550918182034E-2</v>
      </c>
      <c r="O23"/>
      <c r="P23"/>
      <c r="Q23"/>
      <c r="R23"/>
      <c r="S23" s="45"/>
    </row>
    <row r="24" spans="3:19">
      <c r="C24" s="23" t="s">
        <v>16</v>
      </c>
      <c r="D24" s="24">
        <v>9.3000000000000007</v>
      </c>
      <c r="E24" s="24">
        <v>14</v>
      </c>
      <c r="F24" s="54">
        <f t="shared" si="0"/>
        <v>1.5597184423005743E-3</v>
      </c>
      <c r="O24"/>
      <c r="P24"/>
      <c r="Q24"/>
      <c r="R24"/>
      <c r="S24" s="45"/>
    </row>
    <row r="25" spans="3:19">
      <c r="C25" s="23" t="s">
        <v>16</v>
      </c>
      <c r="D25" s="26">
        <v>4.45</v>
      </c>
      <c r="E25" s="26">
        <v>66</v>
      </c>
      <c r="F25" s="54">
        <f t="shared" si="0"/>
        <v>3.4663946605414803E-2</v>
      </c>
      <c r="O25"/>
      <c r="P25"/>
      <c r="Q25"/>
      <c r="R25"/>
      <c r="S25" s="45"/>
    </row>
    <row r="26" spans="3:19">
      <c r="C26" s="23" t="s">
        <v>16</v>
      </c>
      <c r="D26" s="26">
        <v>6.7</v>
      </c>
      <c r="E26" s="26">
        <v>19</v>
      </c>
      <c r="F26" s="54">
        <f t="shared" si="0"/>
        <v>2.8727467228087107E-3</v>
      </c>
      <c r="O26"/>
      <c r="P26"/>
      <c r="Q26"/>
      <c r="R26"/>
      <c r="S26" s="45"/>
    </row>
    <row r="27" spans="3:19">
      <c r="C27" s="23" t="s">
        <v>16</v>
      </c>
      <c r="D27" s="26">
        <v>1.55</v>
      </c>
      <c r="E27" s="26">
        <v>48</v>
      </c>
      <c r="F27" s="54">
        <f t="shared" si="0"/>
        <v>1.8334649444186342E-2</v>
      </c>
      <c r="O27"/>
      <c r="P27"/>
      <c r="Q27"/>
      <c r="R27"/>
      <c r="S27" s="45"/>
    </row>
    <row r="28" spans="3:19">
      <c r="C28" s="23" t="s">
        <v>16</v>
      </c>
      <c r="D28" s="26">
        <v>6.36</v>
      </c>
      <c r="E28" s="26">
        <v>72</v>
      </c>
      <c r="F28" s="54">
        <f t="shared" si="0"/>
        <v>4.1252961249419275E-2</v>
      </c>
      <c r="O28"/>
      <c r="P28"/>
      <c r="Q28"/>
      <c r="R28"/>
      <c r="S28" s="45"/>
    </row>
    <row r="29" spans="3:19">
      <c r="C29" s="23" t="s">
        <v>16</v>
      </c>
      <c r="D29" s="26">
        <v>2.15</v>
      </c>
      <c r="E29" s="26">
        <v>67</v>
      </c>
      <c r="F29" s="54">
        <f t="shared" si="0"/>
        <v>3.5722326976975909E-2</v>
      </c>
      <c r="O29"/>
      <c r="P29"/>
      <c r="Q29"/>
      <c r="R29"/>
      <c r="S29" s="45"/>
    </row>
    <row r="30" spans="3:19">
      <c r="C30" s="23" t="s">
        <v>16</v>
      </c>
      <c r="D30" s="26">
        <v>3.65</v>
      </c>
      <c r="E30" s="26">
        <v>27</v>
      </c>
      <c r="F30" s="54">
        <f t="shared" si="0"/>
        <v>5.801197675699585E-3</v>
      </c>
      <c r="O30"/>
      <c r="P30"/>
      <c r="Q30"/>
      <c r="R30"/>
      <c r="S30" s="45"/>
    </row>
    <row r="31" spans="3:19">
      <c r="C31" s="23" t="s">
        <v>16</v>
      </c>
      <c r="D31" s="26">
        <v>4.55</v>
      </c>
      <c r="E31" s="26">
        <v>15</v>
      </c>
      <c r="F31" s="54">
        <f t="shared" si="0"/>
        <v>1.7904931097838226E-3</v>
      </c>
      <c r="O31"/>
      <c r="P31"/>
      <c r="Q31"/>
      <c r="R31"/>
      <c r="S31" s="45"/>
    </row>
    <row r="32" spans="3:19">
      <c r="C32" s="23" t="s">
        <v>16</v>
      </c>
      <c r="D32" s="25">
        <v>11.24</v>
      </c>
      <c r="E32" s="25">
        <v>20</v>
      </c>
      <c r="F32" s="54">
        <f t="shared" si="0"/>
        <v>3.1830988618379067E-3</v>
      </c>
      <c r="O32"/>
      <c r="P32"/>
      <c r="Q32"/>
      <c r="R32"/>
      <c r="S32" s="45"/>
    </row>
    <row r="33" spans="3:19">
      <c r="C33" s="23" t="s">
        <v>16</v>
      </c>
      <c r="D33" s="25">
        <v>5.7</v>
      </c>
      <c r="E33" s="25">
        <v>25</v>
      </c>
      <c r="F33" s="54">
        <f t="shared" si="0"/>
        <v>4.9735919716217296E-3</v>
      </c>
      <c r="O33"/>
      <c r="P33"/>
      <c r="Q33"/>
      <c r="R33"/>
      <c r="S33" s="45"/>
    </row>
    <row r="34" spans="3:19">
      <c r="C34" s="23" t="s">
        <v>16</v>
      </c>
      <c r="D34" s="25">
        <v>2.9</v>
      </c>
      <c r="E34" s="25">
        <v>48</v>
      </c>
      <c r="F34" s="54">
        <f t="shared" si="0"/>
        <v>1.8334649444186342E-2</v>
      </c>
      <c r="O34"/>
      <c r="P34"/>
      <c r="Q34"/>
      <c r="R34"/>
      <c r="S34" s="45"/>
    </row>
    <row r="35" spans="3:19">
      <c r="C35" s="23" t="s">
        <v>16</v>
      </c>
      <c r="D35" s="25">
        <v>3.8</v>
      </c>
      <c r="E35" s="25">
        <v>51</v>
      </c>
      <c r="F35" s="54">
        <f t="shared" si="0"/>
        <v>2.0698100349100988E-2</v>
      </c>
      <c r="O35"/>
      <c r="P35"/>
      <c r="Q35"/>
      <c r="R35"/>
      <c r="S35" s="45"/>
    </row>
    <row r="36" spans="3:19">
      <c r="C36" s="23" t="s">
        <v>16</v>
      </c>
      <c r="D36" s="25">
        <v>2.85</v>
      </c>
      <c r="E36" s="25">
        <v>54</v>
      </c>
      <c r="F36" s="54">
        <f t="shared" si="0"/>
        <v>2.320479070279834E-2</v>
      </c>
      <c r="O36"/>
      <c r="P36"/>
      <c r="Q36"/>
      <c r="R36"/>
      <c r="S36" s="45"/>
    </row>
    <row r="37" spans="3:19">
      <c r="C37" s="23" t="s">
        <v>16</v>
      </c>
      <c r="D37" s="25">
        <v>10.4</v>
      </c>
      <c r="E37" s="25">
        <v>103</v>
      </c>
      <c r="F37" s="54">
        <f t="shared" si="0"/>
        <v>8.4423739563095887E-2</v>
      </c>
      <c r="O37"/>
      <c r="P37"/>
      <c r="Q37"/>
      <c r="R37"/>
      <c r="S37" s="45"/>
    </row>
    <row r="38" spans="3:19">
      <c r="C38" s="23" t="s">
        <v>16</v>
      </c>
      <c r="D38" s="25">
        <v>6.5</v>
      </c>
      <c r="E38" s="25">
        <v>80</v>
      </c>
      <c r="F38" s="54">
        <f t="shared" si="0"/>
        <v>5.0929581789406507E-2</v>
      </c>
      <c r="O38"/>
      <c r="P38"/>
      <c r="Q38"/>
      <c r="R38"/>
      <c r="S38" s="45"/>
    </row>
    <row r="39" spans="3:19">
      <c r="C39" s="23" t="s">
        <v>16</v>
      </c>
      <c r="D39" s="25">
        <v>7.27</v>
      </c>
      <c r="E39" s="25">
        <v>50</v>
      </c>
      <c r="F39" s="54">
        <f t="shared" si="0"/>
        <v>1.9894367886486918E-2</v>
      </c>
      <c r="O39"/>
      <c r="P39"/>
      <c r="Q39"/>
      <c r="R39"/>
      <c r="S39" s="45"/>
    </row>
    <row r="40" spans="3:19">
      <c r="C40" s="23" t="s">
        <v>16</v>
      </c>
      <c r="D40" s="25">
        <v>8.2799999999999994</v>
      </c>
      <c r="E40" s="25">
        <v>132</v>
      </c>
      <c r="F40" s="54">
        <f t="shared" si="0"/>
        <v>0.13865578642165921</v>
      </c>
      <c r="O40"/>
      <c r="P40"/>
      <c r="Q40"/>
      <c r="R40"/>
      <c r="S40" s="45"/>
    </row>
    <row r="41" spans="3:19">
      <c r="C41" s="23" t="s">
        <v>16</v>
      </c>
      <c r="D41" s="25">
        <v>5.83</v>
      </c>
      <c r="E41" s="25">
        <v>107</v>
      </c>
      <c r="F41" s="54">
        <f t="shared" si="0"/>
        <v>9.1108247172955487E-2</v>
      </c>
      <c r="O41"/>
      <c r="P41"/>
      <c r="Q41"/>
      <c r="R41"/>
      <c r="S41" s="45"/>
    </row>
    <row r="42" spans="3:19">
      <c r="C42" s="23" t="s">
        <v>16</v>
      </c>
      <c r="D42" s="25">
        <v>7.5</v>
      </c>
      <c r="E42" s="25">
        <v>25</v>
      </c>
      <c r="F42" s="54">
        <f t="shared" si="0"/>
        <v>4.9735919716217296E-3</v>
      </c>
      <c r="O42"/>
      <c r="P42"/>
      <c r="Q42"/>
      <c r="R42"/>
      <c r="S42" s="45"/>
    </row>
    <row r="43" spans="3:19">
      <c r="C43" s="23" t="s">
        <v>16</v>
      </c>
      <c r="D43" s="29">
        <v>8.9</v>
      </c>
      <c r="E43" s="29">
        <v>30</v>
      </c>
      <c r="F43" s="54">
        <f t="shared" si="0"/>
        <v>7.1619724391352906E-3</v>
      </c>
      <c r="O43"/>
      <c r="P43"/>
      <c r="Q43"/>
      <c r="R43"/>
      <c r="S43" s="45"/>
    </row>
    <row r="44" spans="3:19">
      <c r="C44" s="23" t="s">
        <v>16</v>
      </c>
      <c r="D44" s="25">
        <v>4.26</v>
      </c>
      <c r="E44" s="25">
        <v>19</v>
      </c>
      <c r="F44" s="54">
        <f t="shared" si="0"/>
        <v>2.8727467228087107E-3</v>
      </c>
      <c r="O44"/>
      <c r="P44"/>
      <c r="Q44"/>
      <c r="R44"/>
      <c r="S44" s="45"/>
    </row>
    <row r="45" spans="3:19">
      <c r="C45" s="23" t="s">
        <v>16</v>
      </c>
      <c r="D45" s="29">
        <v>7.48</v>
      </c>
      <c r="E45" s="29">
        <v>91</v>
      </c>
      <c r="F45" s="54">
        <f t="shared" si="0"/>
        <v>6.5898104187199269E-2</v>
      </c>
      <c r="O45"/>
      <c r="P45"/>
      <c r="Q45"/>
      <c r="R45"/>
      <c r="S45" s="45"/>
    </row>
    <row r="46" spans="3:19">
      <c r="C46" s="23" t="s">
        <v>16</v>
      </c>
      <c r="D46" s="25">
        <v>8</v>
      </c>
      <c r="E46" s="25">
        <v>64</v>
      </c>
      <c r="F46" s="54">
        <f t="shared" si="0"/>
        <v>3.2594932345220165E-2</v>
      </c>
      <c r="O46"/>
      <c r="P46"/>
      <c r="Q46"/>
      <c r="R46"/>
      <c r="S46" s="45"/>
    </row>
    <row r="47" spans="3:19">
      <c r="C47" s="23" t="s">
        <v>16</v>
      </c>
      <c r="D47" s="25">
        <v>5.7</v>
      </c>
      <c r="E47" s="25">
        <v>59</v>
      </c>
      <c r="F47" s="54">
        <f t="shared" si="0"/>
        <v>2.7700917845144384E-2</v>
      </c>
      <c r="O47"/>
      <c r="P47"/>
      <c r="Q47"/>
      <c r="R47"/>
      <c r="S47" s="45"/>
    </row>
    <row r="48" spans="3:19">
      <c r="C48" s="23" t="s">
        <v>16</v>
      </c>
      <c r="D48" s="29">
        <v>22.93</v>
      </c>
      <c r="E48" s="29">
        <v>77</v>
      </c>
      <c r="F48" s="54">
        <f t="shared" si="0"/>
        <v>4.7181482879592375E-2</v>
      </c>
      <c r="O48"/>
      <c r="P48"/>
      <c r="Q48"/>
      <c r="R48"/>
      <c r="S48" s="45"/>
    </row>
    <row r="49" spans="3:19">
      <c r="C49" s="23" t="s">
        <v>16</v>
      </c>
      <c r="D49" s="25">
        <v>7.45</v>
      </c>
      <c r="E49" s="25">
        <v>112</v>
      </c>
      <c r="F49" s="54">
        <f t="shared" si="0"/>
        <v>9.9821980307236755E-2</v>
      </c>
      <c r="O49"/>
      <c r="P49"/>
      <c r="Q49"/>
      <c r="R49"/>
      <c r="S49" s="45"/>
    </row>
    <row r="50" spans="3:19">
      <c r="C50" s="23" t="s">
        <v>16</v>
      </c>
      <c r="D50" s="25">
        <v>2.2999999999999998</v>
      </c>
      <c r="E50" s="25">
        <v>96</v>
      </c>
      <c r="F50" s="54">
        <f t="shared" si="0"/>
        <v>7.3338597776745368E-2</v>
      </c>
      <c r="O50"/>
      <c r="P50"/>
      <c r="Q50"/>
      <c r="R50"/>
      <c r="S50" s="45"/>
    </row>
    <row r="51" spans="3:19">
      <c r="C51" s="23" t="s">
        <v>16</v>
      </c>
      <c r="D51" s="25">
        <v>8.9600000000000009</v>
      </c>
      <c r="E51" s="25">
        <v>19</v>
      </c>
      <c r="F51" s="54">
        <f t="shared" si="0"/>
        <v>2.8727467228087107E-3</v>
      </c>
      <c r="O51"/>
      <c r="P51"/>
      <c r="Q51"/>
      <c r="R51"/>
      <c r="S51" s="45"/>
    </row>
    <row r="52" spans="3:19">
      <c r="C52" s="23" t="s">
        <v>16</v>
      </c>
      <c r="D52" s="26">
        <v>9</v>
      </c>
      <c r="E52" s="26">
        <v>29</v>
      </c>
      <c r="F52" s="54">
        <f t="shared" si="0"/>
        <v>6.6924653570141993E-3</v>
      </c>
      <c r="O52"/>
      <c r="P52"/>
      <c r="Q52"/>
      <c r="R52"/>
      <c r="S52" s="45"/>
    </row>
    <row r="53" spans="3:19">
      <c r="C53" s="23" t="s">
        <v>16</v>
      </c>
      <c r="D53" s="26">
        <v>8.1999999999999993</v>
      </c>
      <c r="E53" s="26">
        <v>86</v>
      </c>
      <c r="F53" s="54">
        <f t="shared" si="0"/>
        <v>5.8855497955382897E-2</v>
      </c>
      <c r="O53"/>
      <c r="P53"/>
      <c r="Q53"/>
      <c r="R53"/>
      <c r="S53" s="45"/>
    </row>
    <row r="54" spans="3:19">
      <c r="C54" s="23" t="s">
        <v>16</v>
      </c>
      <c r="D54" s="26">
        <v>8</v>
      </c>
      <c r="E54" s="26">
        <v>90</v>
      </c>
      <c r="F54" s="54">
        <f t="shared" si="0"/>
        <v>6.4457751952217618E-2</v>
      </c>
      <c r="O54"/>
      <c r="P54"/>
      <c r="Q54"/>
      <c r="R54"/>
      <c r="S54" s="45"/>
    </row>
    <row r="55" spans="3:19">
      <c r="C55" s="23" t="s">
        <v>16</v>
      </c>
      <c r="D55" s="25">
        <v>10.7</v>
      </c>
      <c r="E55" s="26">
        <v>72</v>
      </c>
      <c r="F55" s="54">
        <f t="shared" si="0"/>
        <v>4.1252961249419275E-2</v>
      </c>
      <c r="O55"/>
      <c r="P55"/>
      <c r="Q55"/>
      <c r="R55"/>
      <c r="S55" s="45"/>
    </row>
    <row r="56" spans="3:19">
      <c r="C56" s="23" t="s">
        <v>16</v>
      </c>
      <c r="D56" s="26">
        <v>2.84</v>
      </c>
      <c r="E56" s="26">
        <v>26</v>
      </c>
      <c r="F56" s="54">
        <f t="shared" si="0"/>
        <v>5.3794370765060627E-3</v>
      </c>
      <c r="O56"/>
      <c r="P56"/>
      <c r="Q56"/>
      <c r="R56"/>
      <c r="S56" s="45"/>
    </row>
    <row r="57" spans="3:19">
      <c r="C57" s="23" t="s">
        <v>16</v>
      </c>
      <c r="D57" s="26">
        <v>10.199999999999999</v>
      </c>
      <c r="E57" s="26">
        <v>84</v>
      </c>
      <c r="F57" s="54">
        <f t="shared" si="0"/>
        <v>5.6149863922820675E-2</v>
      </c>
      <c r="O57"/>
      <c r="P57"/>
      <c r="Q57"/>
      <c r="R57"/>
      <c r="S57" s="45"/>
    </row>
    <row r="58" spans="3:19">
      <c r="C58" s="23" t="s">
        <v>16</v>
      </c>
      <c r="D58" s="26">
        <v>7.6</v>
      </c>
      <c r="E58" s="26">
        <v>57</v>
      </c>
      <c r="F58" s="54">
        <f t="shared" si="0"/>
        <v>2.5854720505278397E-2</v>
      </c>
      <c r="O58"/>
      <c r="P58"/>
      <c r="Q58"/>
      <c r="R58"/>
      <c r="S58" s="45"/>
    </row>
    <row r="59" spans="3:19">
      <c r="C59" s="23" t="s">
        <v>16</v>
      </c>
      <c r="D59" s="26">
        <v>2.1</v>
      </c>
      <c r="E59" s="26">
        <v>63</v>
      </c>
      <c r="F59" s="54">
        <f t="shared" si="0"/>
        <v>3.1584298456586633E-2</v>
      </c>
      <c r="O59"/>
      <c r="P59"/>
      <c r="Q59"/>
      <c r="R59"/>
      <c r="S59" s="45"/>
    </row>
    <row r="60" spans="3:19">
      <c r="C60" s="23" t="s">
        <v>16</v>
      </c>
      <c r="D60" s="26">
        <v>2.15</v>
      </c>
      <c r="E60" s="26">
        <v>70</v>
      </c>
      <c r="F60" s="54">
        <f t="shared" si="0"/>
        <v>3.8992961057514361E-2</v>
      </c>
      <c r="O60"/>
      <c r="P60"/>
      <c r="Q60"/>
      <c r="R60"/>
      <c r="S60" s="45"/>
    </row>
    <row r="61" spans="3:19">
      <c r="C61" s="23" t="s">
        <v>16</v>
      </c>
      <c r="D61" s="26">
        <v>8.23</v>
      </c>
      <c r="E61" s="26">
        <v>75</v>
      </c>
      <c r="F61" s="54">
        <f t="shared" si="0"/>
        <v>4.4762327744595563E-2</v>
      </c>
      <c r="O61"/>
      <c r="P61"/>
      <c r="Q61"/>
      <c r="R61"/>
      <c r="S61" s="45"/>
    </row>
    <row r="62" spans="3:19">
      <c r="C62" s="23" t="s">
        <v>16</v>
      </c>
      <c r="D62" s="26">
        <v>10.15</v>
      </c>
      <c r="E62" s="26">
        <v>71</v>
      </c>
      <c r="F62" s="54">
        <f t="shared" si="0"/>
        <v>4.0115003406312223E-2</v>
      </c>
      <c r="O62"/>
      <c r="P62"/>
      <c r="Q62"/>
      <c r="R62"/>
      <c r="S62" s="45"/>
    </row>
    <row r="63" spans="3:19">
      <c r="C63" s="23" t="s">
        <v>16</v>
      </c>
      <c r="D63" s="26">
        <v>3.8</v>
      </c>
      <c r="E63" s="26">
        <v>45</v>
      </c>
      <c r="F63" s="54">
        <f t="shared" si="0"/>
        <v>1.6114437988054404E-2</v>
      </c>
      <c r="O63"/>
      <c r="P63"/>
      <c r="Q63"/>
      <c r="R63"/>
      <c r="S63" s="45"/>
    </row>
    <row r="64" spans="3:19">
      <c r="C64" s="23" t="s">
        <v>16</v>
      </c>
      <c r="D64" s="26">
        <v>8.73</v>
      </c>
      <c r="E64" s="26">
        <v>15</v>
      </c>
      <c r="F64" s="54">
        <f t="shared" si="0"/>
        <v>1.7904931097838226E-3</v>
      </c>
      <c r="O64"/>
      <c r="P64"/>
      <c r="Q64"/>
      <c r="R64"/>
      <c r="S64" s="45"/>
    </row>
    <row r="65" spans="3:19">
      <c r="C65" s="23" t="s">
        <v>16</v>
      </c>
      <c r="D65" s="26">
        <v>1.4</v>
      </c>
      <c r="E65" s="26">
        <v>70</v>
      </c>
      <c r="F65" s="54">
        <f t="shared" si="0"/>
        <v>3.8992961057514361E-2</v>
      </c>
      <c r="O65"/>
      <c r="P65"/>
      <c r="Q65"/>
      <c r="R65"/>
      <c r="S65" s="45"/>
    </row>
    <row r="66" spans="3:19">
      <c r="C66" s="23" t="s">
        <v>16</v>
      </c>
      <c r="D66" s="25">
        <v>3.95</v>
      </c>
      <c r="E66" s="26">
        <v>80</v>
      </c>
      <c r="F66" s="54">
        <f t="shared" si="0"/>
        <v>5.0929581789406507E-2</v>
      </c>
      <c r="O66"/>
      <c r="P66"/>
      <c r="Q66"/>
      <c r="R66"/>
      <c r="S66" s="45"/>
    </row>
    <row r="67" spans="3:19">
      <c r="C67" s="23" t="s">
        <v>16</v>
      </c>
      <c r="D67" s="25">
        <v>3.25</v>
      </c>
      <c r="E67" s="25">
        <v>38</v>
      </c>
      <c r="F67" s="54">
        <f t="shared" ref="F67:F130" si="4">E67*E67/(4*PI()*10000)</f>
        <v>1.1490986891234843E-2</v>
      </c>
      <c r="O67"/>
      <c r="P67"/>
      <c r="Q67"/>
      <c r="R67"/>
      <c r="S67" s="45"/>
    </row>
    <row r="68" spans="3:19">
      <c r="C68" s="23" t="s">
        <v>16</v>
      </c>
      <c r="D68" s="25">
        <v>1.4</v>
      </c>
      <c r="E68" s="25">
        <v>51</v>
      </c>
      <c r="F68" s="54">
        <f t="shared" si="4"/>
        <v>2.0698100349100988E-2</v>
      </c>
      <c r="O68"/>
      <c r="P68"/>
      <c r="Q68"/>
      <c r="R68"/>
      <c r="S68" s="45"/>
    </row>
    <row r="69" spans="3:19">
      <c r="C69" s="23" t="s">
        <v>16</v>
      </c>
      <c r="D69" s="25">
        <v>10.6</v>
      </c>
      <c r="E69" s="25">
        <v>48</v>
      </c>
      <c r="F69" s="54">
        <f t="shared" si="4"/>
        <v>1.8334649444186342E-2</v>
      </c>
      <c r="O69"/>
      <c r="P69"/>
      <c r="Q69"/>
      <c r="R69"/>
      <c r="S69" s="45"/>
    </row>
    <row r="70" spans="3:19">
      <c r="C70" s="23" t="s">
        <v>16</v>
      </c>
      <c r="D70" s="25">
        <v>1.65</v>
      </c>
      <c r="E70" s="25">
        <v>60</v>
      </c>
      <c r="F70" s="54">
        <f t="shared" si="4"/>
        <v>2.8647889756541162E-2</v>
      </c>
      <c r="O70"/>
      <c r="P70"/>
      <c r="Q70"/>
      <c r="R70"/>
      <c r="S70" s="45"/>
    </row>
    <row r="71" spans="3:19">
      <c r="C71" s="23" t="s">
        <v>16</v>
      </c>
      <c r="D71" s="25">
        <v>2.2999999999999998</v>
      </c>
      <c r="E71" s="25">
        <v>37</v>
      </c>
      <c r="F71" s="54">
        <f t="shared" si="4"/>
        <v>1.0894155854640236E-2</v>
      </c>
      <c r="O71"/>
      <c r="P71"/>
      <c r="Q71"/>
      <c r="R71"/>
      <c r="S71" s="45"/>
    </row>
    <row r="72" spans="3:19">
      <c r="C72" s="23" t="s">
        <v>16</v>
      </c>
      <c r="D72" s="25">
        <v>2.2999999999999998</v>
      </c>
      <c r="E72" s="25">
        <v>18</v>
      </c>
      <c r="F72" s="54">
        <f t="shared" si="4"/>
        <v>2.5783100780887047E-3</v>
      </c>
      <c r="O72"/>
      <c r="P72"/>
      <c r="Q72"/>
      <c r="R72"/>
      <c r="S72" s="45"/>
    </row>
    <row r="73" spans="3:19">
      <c r="C73" s="23" t="s">
        <v>16</v>
      </c>
      <c r="D73" s="25">
        <v>1.7</v>
      </c>
      <c r="E73" s="25">
        <v>53</v>
      </c>
      <c r="F73" s="54">
        <f t="shared" si="4"/>
        <v>2.2353311757256699E-2</v>
      </c>
      <c r="O73"/>
      <c r="P73"/>
      <c r="Q73"/>
      <c r="R73"/>
      <c r="S73" s="45"/>
    </row>
    <row r="74" spans="3:19">
      <c r="C74" s="23" t="s">
        <v>16</v>
      </c>
      <c r="D74" s="25">
        <v>5.76</v>
      </c>
      <c r="E74" s="25">
        <v>23</v>
      </c>
      <c r="F74" s="54">
        <f t="shared" si="4"/>
        <v>4.2096482447806314E-3</v>
      </c>
      <c r="O74"/>
      <c r="P74"/>
      <c r="Q74"/>
      <c r="R74"/>
      <c r="S74" s="45"/>
    </row>
    <row r="75" spans="3:19">
      <c r="C75" s="23" t="s">
        <v>16</v>
      </c>
      <c r="D75" s="25">
        <v>1</v>
      </c>
      <c r="E75" s="25">
        <v>33</v>
      </c>
      <c r="F75" s="54">
        <f t="shared" si="4"/>
        <v>8.6659866513537007E-3</v>
      </c>
      <c r="O75"/>
      <c r="P75"/>
      <c r="Q75"/>
      <c r="R75"/>
      <c r="S75" s="45"/>
    </row>
    <row r="76" spans="3:19">
      <c r="C76" s="23" t="s">
        <v>16</v>
      </c>
      <c r="D76" s="25">
        <v>4.7</v>
      </c>
      <c r="E76" s="25">
        <v>37</v>
      </c>
      <c r="F76" s="54">
        <f t="shared" si="4"/>
        <v>1.0894155854640236E-2</v>
      </c>
      <c r="O76"/>
      <c r="P76"/>
      <c r="Q76"/>
      <c r="R76"/>
      <c r="S76" s="45"/>
    </row>
    <row r="77" spans="3:19">
      <c r="C77" s="23" t="s">
        <v>16</v>
      </c>
      <c r="D77" s="25">
        <v>2.4</v>
      </c>
      <c r="E77" s="25">
        <v>34</v>
      </c>
      <c r="F77" s="54">
        <f t="shared" si="4"/>
        <v>9.1991557107115509E-3</v>
      </c>
      <c r="O77"/>
      <c r="P77"/>
      <c r="Q77"/>
      <c r="R77"/>
      <c r="S77" s="45"/>
    </row>
    <row r="78" spans="3:19">
      <c r="C78" s="23" t="s">
        <v>16</v>
      </c>
      <c r="D78" s="25">
        <v>4.2699999999999996</v>
      </c>
      <c r="E78" s="25">
        <v>48</v>
      </c>
      <c r="F78" s="54">
        <f t="shared" si="4"/>
        <v>1.8334649444186342E-2</v>
      </c>
      <c r="O78"/>
      <c r="P78"/>
      <c r="Q78"/>
      <c r="R78"/>
      <c r="S78" s="45"/>
    </row>
    <row r="79" spans="3:19">
      <c r="C79" s="23" t="s">
        <v>16</v>
      </c>
      <c r="D79" s="25">
        <v>9.6999999999999993</v>
      </c>
      <c r="E79" s="25">
        <v>59</v>
      </c>
      <c r="F79" s="54">
        <f t="shared" si="4"/>
        <v>2.7700917845144384E-2</v>
      </c>
      <c r="O79"/>
      <c r="P79"/>
      <c r="Q79"/>
      <c r="R79"/>
      <c r="S79" s="45"/>
    </row>
    <row r="80" spans="3:19">
      <c r="C80" s="23" t="s">
        <v>16</v>
      </c>
      <c r="D80" s="27">
        <v>6.6</v>
      </c>
      <c r="E80" s="27">
        <v>30</v>
      </c>
      <c r="F80" s="54">
        <f t="shared" si="4"/>
        <v>7.1619724391352906E-3</v>
      </c>
      <c r="O80"/>
      <c r="P80"/>
      <c r="Q80"/>
      <c r="R80"/>
      <c r="S80" s="45"/>
    </row>
    <row r="81" spans="3:19">
      <c r="C81" s="23" t="s">
        <v>16</v>
      </c>
      <c r="D81" s="25">
        <v>12.7</v>
      </c>
      <c r="E81" s="25">
        <v>53</v>
      </c>
      <c r="F81" s="54">
        <f t="shared" si="4"/>
        <v>2.2353311757256699E-2</v>
      </c>
      <c r="O81"/>
      <c r="P81"/>
      <c r="Q81"/>
      <c r="R81"/>
      <c r="S81" s="45"/>
    </row>
    <row r="82" spans="3:19">
      <c r="C82" s="23" t="s">
        <v>16</v>
      </c>
      <c r="D82" s="25">
        <v>11.3</v>
      </c>
      <c r="E82" s="25">
        <v>55</v>
      </c>
      <c r="F82" s="54">
        <f t="shared" si="4"/>
        <v>2.407218514264917E-2</v>
      </c>
      <c r="O82"/>
      <c r="P82"/>
      <c r="Q82"/>
      <c r="R82"/>
      <c r="S82" s="45"/>
    </row>
    <row r="83" spans="3:19">
      <c r="C83" s="23" t="s">
        <v>16</v>
      </c>
      <c r="D83" s="25">
        <v>12.7</v>
      </c>
      <c r="E83" s="25">
        <v>25</v>
      </c>
      <c r="F83" s="54">
        <f t="shared" si="4"/>
        <v>4.9735919716217296E-3</v>
      </c>
      <c r="O83"/>
      <c r="P83"/>
      <c r="Q83"/>
      <c r="R83"/>
      <c r="S83" s="45"/>
    </row>
    <row r="84" spans="3:19">
      <c r="C84" s="23" t="s">
        <v>16</v>
      </c>
      <c r="D84" s="26">
        <v>2.85</v>
      </c>
      <c r="E84" s="26">
        <v>59</v>
      </c>
      <c r="F84" s="54">
        <f t="shared" si="4"/>
        <v>2.7700917845144384E-2</v>
      </c>
      <c r="O84"/>
      <c r="P84"/>
      <c r="Q84"/>
      <c r="R84"/>
      <c r="S84" s="45"/>
    </row>
    <row r="85" spans="3:19">
      <c r="C85" s="23" t="s">
        <v>16</v>
      </c>
      <c r="D85" s="26">
        <v>2.36</v>
      </c>
      <c r="E85" s="26">
        <v>44</v>
      </c>
      <c r="F85" s="54">
        <f t="shared" si="4"/>
        <v>1.5406198491295469E-2</v>
      </c>
      <c r="O85"/>
      <c r="P85"/>
      <c r="Q85"/>
      <c r="R85"/>
      <c r="S85" s="45"/>
    </row>
    <row r="86" spans="3:19">
      <c r="C86" s="23" t="s">
        <v>16</v>
      </c>
      <c r="D86" s="26">
        <v>1.26</v>
      </c>
      <c r="E86" s="26">
        <v>34</v>
      </c>
      <c r="F86" s="54">
        <f t="shared" si="4"/>
        <v>9.1991557107115509E-3</v>
      </c>
      <c r="O86"/>
      <c r="P86"/>
      <c r="Q86"/>
      <c r="R86"/>
      <c r="S86" s="45"/>
    </row>
    <row r="87" spans="3:19">
      <c r="C87" s="23" t="s">
        <v>16</v>
      </c>
      <c r="D87" s="25">
        <v>4.54</v>
      </c>
      <c r="E87" s="26">
        <v>117</v>
      </c>
      <c r="F87" s="54">
        <f t="shared" si="4"/>
        <v>0.10893360079924777</v>
      </c>
      <c r="O87"/>
      <c r="P87"/>
      <c r="Q87"/>
      <c r="R87"/>
      <c r="S87" s="45"/>
    </row>
    <row r="88" spans="3:19">
      <c r="C88" s="23" t="s">
        <v>16</v>
      </c>
      <c r="D88" s="26">
        <v>1.6</v>
      </c>
      <c r="E88" s="26">
        <v>70</v>
      </c>
      <c r="F88" s="54">
        <f t="shared" si="4"/>
        <v>3.8992961057514361E-2</v>
      </c>
      <c r="O88"/>
      <c r="P88"/>
      <c r="Q88"/>
      <c r="R88"/>
      <c r="S88" s="45"/>
    </row>
    <row r="89" spans="3:19">
      <c r="C89" s="23" t="s">
        <v>16</v>
      </c>
      <c r="D89" s="26">
        <v>6</v>
      </c>
      <c r="E89" s="26">
        <v>100</v>
      </c>
      <c r="F89" s="54">
        <f t="shared" si="4"/>
        <v>7.9577471545947673E-2</v>
      </c>
      <c r="O89"/>
      <c r="P89"/>
      <c r="Q89"/>
      <c r="R89"/>
      <c r="S89" s="45"/>
    </row>
    <row r="90" spans="3:19">
      <c r="C90" s="23" t="s">
        <v>16</v>
      </c>
      <c r="D90" s="26">
        <v>8.9</v>
      </c>
      <c r="E90" s="26">
        <v>77</v>
      </c>
      <c r="F90" s="54">
        <f t="shared" si="4"/>
        <v>4.7181482879592375E-2</v>
      </c>
      <c r="O90"/>
      <c r="P90"/>
      <c r="Q90"/>
      <c r="R90"/>
      <c r="S90" s="45"/>
    </row>
    <row r="91" spans="3:19">
      <c r="C91" s="23" t="s">
        <v>16</v>
      </c>
      <c r="D91" s="26">
        <v>4.26</v>
      </c>
      <c r="E91" s="26">
        <v>70</v>
      </c>
      <c r="F91" s="54">
        <f t="shared" si="4"/>
        <v>3.8992961057514361E-2</v>
      </c>
      <c r="O91"/>
      <c r="P91"/>
      <c r="Q91"/>
      <c r="R91"/>
      <c r="S91" s="45"/>
    </row>
    <row r="92" spans="3:19">
      <c r="C92" s="23" t="s">
        <v>16</v>
      </c>
      <c r="D92" s="26">
        <v>3.6</v>
      </c>
      <c r="E92" s="26">
        <v>45</v>
      </c>
      <c r="F92" s="54">
        <f t="shared" si="4"/>
        <v>1.6114437988054404E-2</v>
      </c>
      <c r="O92"/>
      <c r="P92"/>
      <c r="Q92"/>
      <c r="R92"/>
      <c r="S92" s="45"/>
    </row>
    <row r="93" spans="3:19">
      <c r="C93" s="23" t="s">
        <v>16</v>
      </c>
      <c r="D93" s="26">
        <v>13.7</v>
      </c>
      <c r="E93" s="26">
        <v>96</v>
      </c>
      <c r="F93" s="54">
        <f t="shared" si="4"/>
        <v>7.3338597776745368E-2</v>
      </c>
      <c r="O93"/>
      <c r="P93"/>
      <c r="Q93"/>
      <c r="R93"/>
      <c r="S93" s="45"/>
    </row>
    <row r="94" spans="3:19">
      <c r="C94" s="23" t="s">
        <v>16</v>
      </c>
      <c r="D94" s="25">
        <v>9</v>
      </c>
      <c r="E94" s="26">
        <v>81</v>
      </c>
      <c r="F94" s="54">
        <f t="shared" si="4"/>
        <v>5.2210779081296267E-2</v>
      </c>
      <c r="O94"/>
      <c r="P94"/>
      <c r="Q94"/>
      <c r="R94"/>
      <c r="S94" s="45"/>
    </row>
    <row r="95" spans="3:19">
      <c r="C95" s="23" t="s">
        <v>16</v>
      </c>
      <c r="D95" s="26">
        <v>6.14</v>
      </c>
      <c r="E95" s="26">
        <v>85</v>
      </c>
      <c r="F95" s="54">
        <f t="shared" si="4"/>
        <v>5.7494723191947192E-2</v>
      </c>
      <c r="O95"/>
      <c r="P95"/>
      <c r="Q95"/>
      <c r="R95"/>
      <c r="S95" s="45"/>
    </row>
    <row r="96" spans="3:19">
      <c r="C96" s="23" t="s">
        <v>16</v>
      </c>
      <c r="D96" s="26">
        <v>8.42</v>
      </c>
      <c r="E96" s="26">
        <v>90</v>
      </c>
      <c r="F96" s="54">
        <f t="shared" si="4"/>
        <v>6.4457751952217618E-2</v>
      </c>
      <c r="O96"/>
      <c r="P96"/>
      <c r="Q96"/>
      <c r="R96"/>
      <c r="S96" s="45"/>
    </row>
    <row r="97" spans="3:19">
      <c r="C97" s="23" t="s">
        <v>16</v>
      </c>
      <c r="D97" s="26">
        <v>2.4</v>
      </c>
      <c r="E97" s="26">
        <v>50</v>
      </c>
      <c r="F97" s="54">
        <f t="shared" si="4"/>
        <v>1.9894367886486918E-2</v>
      </c>
      <c r="O97"/>
      <c r="P97"/>
      <c r="Q97"/>
      <c r="R97"/>
      <c r="S97" s="45"/>
    </row>
    <row r="98" spans="3:19">
      <c r="C98" s="23" t="s">
        <v>16</v>
      </c>
      <c r="D98" s="26">
        <v>5.85</v>
      </c>
      <c r="E98" s="26">
        <v>49</v>
      </c>
      <c r="F98" s="54">
        <f t="shared" si="4"/>
        <v>1.9106550918182034E-2</v>
      </c>
      <c r="O98"/>
      <c r="P98"/>
      <c r="Q98"/>
      <c r="R98"/>
      <c r="S98" s="45"/>
    </row>
    <row r="99" spans="3:19">
      <c r="C99" s="23" t="s">
        <v>16</v>
      </c>
      <c r="D99" s="26">
        <v>7.18</v>
      </c>
      <c r="E99" s="26">
        <v>22</v>
      </c>
      <c r="F99" s="54">
        <f t="shared" si="4"/>
        <v>3.8515496228238673E-3</v>
      </c>
      <c r="O99"/>
      <c r="P99"/>
      <c r="Q99"/>
      <c r="R99"/>
      <c r="S99" s="45"/>
    </row>
    <row r="100" spans="3:19">
      <c r="C100" s="23" t="s">
        <v>16</v>
      </c>
      <c r="D100" s="26">
        <v>7.76</v>
      </c>
      <c r="E100" s="26">
        <v>60</v>
      </c>
      <c r="F100" s="54">
        <f t="shared" si="4"/>
        <v>2.8647889756541162E-2</v>
      </c>
      <c r="O100"/>
      <c r="P100"/>
      <c r="Q100"/>
      <c r="R100"/>
      <c r="S100" s="45"/>
    </row>
    <row r="101" spans="3:19">
      <c r="C101" s="23" t="s">
        <v>16</v>
      </c>
      <c r="D101" s="26">
        <v>6.65</v>
      </c>
      <c r="E101" s="26">
        <v>70</v>
      </c>
      <c r="F101" s="54">
        <f t="shared" si="4"/>
        <v>3.8992961057514361E-2</v>
      </c>
      <c r="O101"/>
      <c r="P101"/>
      <c r="Q101"/>
      <c r="R101"/>
      <c r="S101" s="45"/>
    </row>
    <row r="102" spans="3:19">
      <c r="C102" s="23" t="s">
        <v>16</v>
      </c>
      <c r="D102" s="26">
        <v>2.64</v>
      </c>
      <c r="E102" s="26">
        <v>134</v>
      </c>
      <c r="F102" s="54">
        <f t="shared" si="4"/>
        <v>0.14288930790790363</v>
      </c>
      <c r="O102"/>
      <c r="P102"/>
      <c r="Q102"/>
      <c r="R102"/>
      <c r="S102" s="45"/>
    </row>
    <row r="103" spans="3:19">
      <c r="C103" s="23" t="s">
        <v>16</v>
      </c>
      <c r="D103" s="26">
        <v>3.7</v>
      </c>
      <c r="E103" s="26">
        <v>40</v>
      </c>
      <c r="F103" s="54">
        <f t="shared" si="4"/>
        <v>1.2732395447351627E-2</v>
      </c>
      <c r="O103"/>
      <c r="P103"/>
      <c r="Q103"/>
      <c r="R103"/>
      <c r="S103" s="45"/>
    </row>
    <row r="104" spans="3:19">
      <c r="C104" s="23" t="s">
        <v>16</v>
      </c>
      <c r="D104" s="26">
        <v>5.26</v>
      </c>
      <c r="E104" s="26">
        <v>28</v>
      </c>
      <c r="F104" s="54">
        <f t="shared" si="4"/>
        <v>6.2388737692022972E-3</v>
      </c>
      <c r="O104"/>
      <c r="P104"/>
      <c r="Q104"/>
      <c r="R104"/>
      <c r="S104" s="45"/>
    </row>
    <row r="105" spans="3:19">
      <c r="C105" s="23" t="s">
        <v>16</v>
      </c>
      <c r="D105" s="26">
        <v>3.33</v>
      </c>
      <c r="E105" s="26">
        <v>50</v>
      </c>
      <c r="F105" s="54">
        <f t="shared" si="4"/>
        <v>1.9894367886486918E-2</v>
      </c>
      <c r="O105"/>
      <c r="P105"/>
      <c r="Q105"/>
      <c r="R105"/>
      <c r="S105" s="45"/>
    </row>
    <row r="106" spans="3:19">
      <c r="C106" s="23" t="s">
        <v>16</v>
      </c>
      <c r="D106" s="26">
        <v>3.5</v>
      </c>
      <c r="E106" s="26">
        <v>60</v>
      </c>
      <c r="F106" s="54">
        <f t="shared" si="4"/>
        <v>2.8647889756541162E-2</v>
      </c>
      <c r="O106"/>
      <c r="P106"/>
      <c r="Q106"/>
      <c r="R106"/>
      <c r="S106" s="45"/>
    </row>
    <row r="107" spans="3:19">
      <c r="C107" s="23" t="s">
        <v>16</v>
      </c>
      <c r="D107" s="26">
        <v>4.9400000000000004</v>
      </c>
      <c r="E107" s="26">
        <v>50</v>
      </c>
      <c r="F107" s="54">
        <f t="shared" si="4"/>
        <v>1.9894367886486918E-2</v>
      </c>
      <c r="O107"/>
      <c r="P107"/>
      <c r="Q107"/>
      <c r="R107"/>
      <c r="S107" s="45"/>
    </row>
    <row r="108" spans="3:19">
      <c r="C108" s="23" t="s">
        <v>16</v>
      </c>
      <c r="D108" s="26">
        <v>7.18</v>
      </c>
      <c r="E108" s="26">
        <v>80</v>
      </c>
      <c r="F108" s="54">
        <f t="shared" si="4"/>
        <v>5.0929581789406507E-2</v>
      </c>
      <c r="O108"/>
      <c r="P108"/>
      <c r="Q108"/>
      <c r="R108"/>
      <c r="S108" s="45"/>
    </row>
    <row r="109" spans="3:19">
      <c r="C109" s="23" t="s">
        <v>16</v>
      </c>
      <c r="D109" s="26">
        <v>6.94</v>
      </c>
      <c r="E109" s="26">
        <v>15</v>
      </c>
      <c r="F109" s="54">
        <f t="shared" si="4"/>
        <v>1.7904931097838226E-3</v>
      </c>
      <c r="O109"/>
      <c r="P109"/>
      <c r="Q109"/>
      <c r="R109"/>
      <c r="S109" s="45"/>
    </row>
    <row r="110" spans="3:19">
      <c r="C110" s="23" t="s">
        <v>16</v>
      </c>
      <c r="D110" s="26">
        <v>3.66</v>
      </c>
      <c r="E110" s="26">
        <v>62</v>
      </c>
      <c r="F110" s="54">
        <f t="shared" si="4"/>
        <v>3.0589580062262284E-2</v>
      </c>
      <c r="O110"/>
      <c r="P110"/>
      <c r="Q110"/>
      <c r="R110"/>
      <c r="S110" s="45"/>
    </row>
    <row r="111" spans="3:19">
      <c r="C111" s="23" t="s">
        <v>16</v>
      </c>
      <c r="D111" s="26">
        <v>3.7</v>
      </c>
      <c r="E111" s="26">
        <v>84</v>
      </c>
      <c r="F111" s="54">
        <f t="shared" si="4"/>
        <v>5.6149863922820675E-2</v>
      </c>
      <c r="O111"/>
      <c r="P111"/>
      <c r="Q111"/>
      <c r="R111"/>
      <c r="S111" s="45"/>
    </row>
    <row r="112" spans="3:19">
      <c r="C112" s="23" t="s">
        <v>16</v>
      </c>
      <c r="D112" s="26">
        <v>2.7</v>
      </c>
      <c r="E112" s="26">
        <v>25</v>
      </c>
      <c r="F112" s="54">
        <f t="shared" si="4"/>
        <v>4.9735919716217296E-3</v>
      </c>
      <c r="O112"/>
      <c r="P112"/>
      <c r="Q112"/>
      <c r="R112"/>
      <c r="S112" s="45"/>
    </row>
    <row r="113" spans="3:19">
      <c r="C113" s="23" t="s">
        <v>16</v>
      </c>
      <c r="D113" s="26">
        <v>6.3</v>
      </c>
      <c r="E113" s="26">
        <v>69</v>
      </c>
      <c r="F113" s="54">
        <f t="shared" si="4"/>
        <v>3.7886834203025688E-2</v>
      </c>
      <c r="O113"/>
      <c r="P113"/>
      <c r="Q113"/>
      <c r="R113"/>
      <c r="S113" s="45"/>
    </row>
    <row r="114" spans="3:19">
      <c r="C114" s="23" t="s">
        <v>16</v>
      </c>
      <c r="D114" s="26">
        <v>3.85</v>
      </c>
      <c r="E114" s="26">
        <v>80</v>
      </c>
      <c r="F114" s="54">
        <f t="shared" si="4"/>
        <v>5.0929581789406507E-2</v>
      </c>
      <c r="O114"/>
      <c r="P114"/>
      <c r="Q114"/>
      <c r="R114"/>
      <c r="S114" s="45"/>
    </row>
    <row r="115" spans="3:19">
      <c r="C115" s="23" t="s">
        <v>16</v>
      </c>
      <c r="D115" s="26">
        <v>4.16</v>
      </c>
      <c r="E115" s="26">
        <v>78</v>
      </c>
      <c r="F115" s="54">
        <f t="shared" si="4"/>
        <v>4.8414933688554561E-2</v>
      </c>
      <c r="O115"/>
      <c r="P115"/>
      <c r="Q115"/>
      <c r="R115"/>
      <c r="S115" s="45"/>
    </row>
    <row r="116" spans="3:19">
      <c r="C116" s="23" t="s">
        <v>16</v>
      </c>
      <c r="D116" s="26">
        <v>5.15</v>
      </c>
      <c r="E116" s="26">
        <v>18</v>
      </c>
      <c r="F116" s="54">
        <f t="shared" si="4"/>
        <v>2.5783100780887047E-3</v>
      </c>
      <c r="O116"/>
      <c r="P116"/>
      <c r="Q116"/>
      <c r="R116"/>
      <c r="S116" s="45"/>
    </row>
    <row r="117" spans="3:19">
      <c r="C117" s="23" t="s">
        <v>16</v>
      </c>
      <c r="D117" s="26">
        <v>4.5</v>
      </c>
      <c r="E117" s="26">
        <v>69</v>
      </c>
      <c r="F117" s="54">
        <f t="shared" si="4"/>
        <v>3.7886834203025688E-2</v>
      </c>
      <c r="O117"/>
      <c r="P117"/>
      <c r="Q117"/>
      <c r="R117"/>
      <c r="S117" s="45"/>
    </row>
    <row r="118" spans="3:19">
      <c r="C118" s="23" t="s">
        <v>16</v>
      </c>
      <c r="D118" s="26">
        <v>6.23</v>
      </c>
      <c r="E118" s="26">
        <v>35</v>
      </c>
      <c r="F118" s="54">
        <f t="shared" si="4"/>
        <v>9.7482402643785902E-3</v>
      </c>
      <c r="O118"/>
      <c r="P118"/>
      <c r="Q118"/>
      <c r="R118"/>
      <c r="S118" s="45"/>
    </row>
    <row r="119" spans="3:19">
      <c r="C119" s="23" t="s">
        <v>16</v>
      </c>
      <c r="D119" s="24">
        <v>7.45</v>
      </c>
      <c r="E119" s="24">
        <v>26</v>
      </c>
      <c r="F119" s="54">
        <f t="shared" si="4"/>
        <v>5.3794370765060627E-3</v>
      </c>
      <c r="O119"/>
      <c r="P119"/>
      <c r="Q119"/>
      <c r="R119"/>
      <c r="S119" s="45"/>
    </row>
    <row r="120" spans="3:19">
      <c r="C120" s="23" t="s">
        <v>16</v>
      </c>
      <c r="D120" s="26">
        <v>8.18</v>
      </c>
      <c r="E120" s="26">
        <v>35</v>
      </c>
      <c r="F120" s="54">
        <f t="shared" si="4"/>
        <v>9.7482402643785902E-3</v>
      </c>
      <c r="O120"/>
      <c r="P120"/>
      <c r="Q120"/>
      <c r="R120"/>
      <c r="S120" s="45"/>
    </row>
    <row r="121" spans="3:19">
      <c r="C121" s="23" t="s">
        <v>16</v>
      </c>
      <c r="D121" s="26">
        <v>3.55</v>
      </c>
      <c r="E121" s="26">
        <v>15</v>
      </c>
      <c r="F121" s="54">
        <f t="shared" si="4"/>
        <v>1.7904931097838226E-3</v>
      </c>
      <c r="O121"/>
      <c r="P121"/>
      <c r="Q121"/>
      <c r="R121"/>
      <c r="S121" s="45"/>
    </row>
    <row r="122" spans="3:19">
      <c r="C122" s="23" t="s">
        <v>16</v>
      </c>
      <c r="D122" s="26">
        <v>8.15</v>
      </c>
      <c r="E122" s="26">
        <v>27</v>
      </c>
      <c r="F122" s="54">
        <f t="shared" si="4"/>
        <v>5.801197675699585E-3</v>
      </c>
      <c r="O122"/>
      <c r="P122"/>
      <c r="Q122"/>
      <c r="R122"/>
      <c r="S122" s="45"/>
    </row>
    <row r="123" spans="3:19">
      <c r="C123" s="23" t="s">
        <v>16</v>
      </c>
      <c r="D123" s="26">
        <v>11.35</v>
      </c>
      <c r="E123" s="26">
        <v>19</v>
      </c>
      <c r="F123" s="54">
        <f t="shared" si="4"/>
        <v>2.8727467228087107E-3</v>
      </c>
      <c r="O123"/>
      <c r="P123"/>
      <c r="Q123"/>
      <c r="R123"/>
      <c r="S123" s="45"/>
    </row>
    <row r="124" spans="3:19">
      <c r="C124" s="23" t="s">
        <v>16</v>
      </c>
      <c r="D124" s="26">
        <v>9.25</v>
      </c>
      <c r="E124" s="26">
        <v>49</v>
      </c>
      <c r="F124" s="54">
        <f t="shared" si="4"/>
        <v>1.9106550918182034E-2</v>
      </c>
      <c r="O124"/>
      <c r="P124"/>
      <c r="Q124"/>
      <c r="R124"/>
      <c r="S124" s="45"/>
    </row>
    <row r="125" spans="3:19">
      <c r="C125" s="23" t="s">
        <v>16</v>
      </c>
      <c r="D125" s="26">
        <v>3.1</v>
      </c>
      <c r="E125" s="26">
        <v>21</v>
      </c>
      <c r="F125" s="54">
        <f t="shared" si="4"/>
        <v>3.5093664951762922E-3</v>
      </c>
      <c r="O125"/>
      <c r="P125"/>
      <c r="Q125"/>
      <c r="R125"/>
      <c r="S125" s="45"/>
    </row>
    <row r="126" spans="3:19">
      <c r="C126" s="23" t="s">
        <v>16</v>
      </c>
      <c r="D126" s="26">
        <v>2.5</v>
      </c>
      <c r="E126" s="26">
        <v>76</v>
      </c>
      <c r="F126" s="54">
        <f t="shared" si="4"/>
        <v>4.5963947564939371E-2</v>
      </c>
      <c r="O126"/>
      <c r="P126"/>
      <c r="Q126"/>
      <c r="R126"/>
      <c r="S126" s="45"/>
    </row>
    <row r="127" spans="3:19">
      <c r="C127" s="23" t="s">
        <v>16</v>
      </c>
      <c r="D127" s="26">
        <v>5.9</v>
      </c>
      <c r="E127" s="26">
        <v>15</v>
      </c>
      <c r="F127" s="54">
        <f t="shared" si="4"/>
        <v>1.7904931097838226E-3</v>
      </c>
      <c r="O127"/>
      <c r="P127"/>
      <c r="Q127"/>
      <c r="R127"/>
      <c r="S127" s="45"/>
    </row>
    <row r="128" spans="3:19">
      <c r="C128" s="23" t="s">
        <v>16</v>
      </c>
      <c r="D128" s="26">
        <v>5.8</v>
      </c>
      <c r="E128" s="26">
        <v>30</v>
      </c>
      <c r="F128" s="54">
        <f t="shared" si="4"/>
        <v>7.1619724391352906E-3</v>
      </c>
      <c r="O128"/>
      <c r="P128"/>
      <c r="Q128"/>
      <c r="R128"/>
      <c r="S128" s="45"/>
    </row>
    <row r="129" spans="3:19">
      <c r="C129" s="23" t="s">
        <v>16</v>
      </c>
      <c r="D129" s="26">
        <v>5.35</v>
      </c>
      <c r="E129" s="26">
        <v>49</v>
      </c>
      <c r="F129" s="54">
        <f t="shared" si="4"/>
        <v>1.9106550918182034E-2</v>
      </c>
      <c r="O129"/>
      <c r="P129"/>
      <c r="Q129"/>
      <c r="R129"/>
      <c r="S129" s="45"/>
    </row>
    <row r="130" spans="3:19">
      <c r="C130" s="23" t="s">
        <v>16</v>
      </c>
      <c r="D130" s="26">
        <v>4.5</v>
      </c>
      <c r="E130" s="26">
        <v>32</v>
      </c>
      <c r="F130" s="54">
        <f t="shared" si="4"/>
        <v>8.1487330863050413E-3</v>
      </c>
      <c r="O130"/>
      <c r="P130"/>
      <c r="Q130"/>
      <c r="R130"/>
      <c r="S130" s="45"/>
    </row>
    <row r="131" spans="3:19">
      <c r="C131" s="23" t="s">
        <v>16</v>
      </c>
      <c r="D131" s="25">
        <v>3.98</v>
      </c>
      <c r="E131" s="25">
        <v>81</v>
      </c>
      <c r="F131" s="54">
        <f t="shared" ref="F131:F194" si="5">E131*E131/(4*PI()*10000)</f>
        <v>5.2210779081296267E-2</v>
      </c>
      <c r="O131"/>
      <c r="P131"/>
      <c r="Q131"/>
      <c r="R131"/>
      <c r="S131" s="45"/>
    </row>
    <row r="132" spans="3:19">
      <c r="C132" s="23" t="s">
        <v>16</v>
      </c>
      <c r="D132" s="25">
        <v>8.1</v>
      </c>
      <c r="E132" s="25">
        <v>30</v>
      </c>
      <c r="F132" s="54">
        <f t="shared" si="5"/>
        <v>7.1619724391352906E-3</v>
      </c>
      <c r="O132"/>
      <c r="P132"/>
      <c r="Q132"/>
      <c r="R132"/>
      <c r="S132" s="45"/>
    </row>
    <row r="133" spans="3:19">
      <c r="C133" s="23" t="s">
        <v>16</v>
      </c>
      <c r="D133" s="25">
        <v>4.3499999999999996</v>
      </c>
      <c r="E133" s="25">
        <v>15</v>
      </c>
      <c r="F133" s="54">
        <f t="shared" si="5"/>
        <v>1.7904931097838226E-3</v>
      </c>
      <c r="O133"/>
      <c r="P133"/>
      <c r="Q133"/>
      <c r="R133"/>
      <c r="S133" s="45"/>
    </row>
    <row r="134" spans="3:19">
      <c r="C134" s="23" t="s">
        <v>16</v>
      </c>
      <c r="D134" s="25">
        <v>5.15</v>
      </c>
      <c r="E134" s="25">
        <v>74</v>
      </c>
      <c r="F134" s="54">
        <f t="shared" si="5"/>
        <v>4.3576623418560945E-2</v>
      </c>
      <c r="O134"/>
      <c r="P134"/>
      <c r="Q134"/>
      <c r="R134"/>
      <c r="S134" s="45"/>
    </row>
    <row r="135" spans="3:19">
      <c r="C135" s="23" t="s">
        <v>16</v>
      </c>
      <c r="D135" s="25">
        <v>4.32</v>
      </c>
      <c r="E135" s="25">
        <v>50</v>
      </c>
      <c r="F135" s="54">
        <f t="shared" si="5"/>
        <v>1.9894367886486918E-2</v>
      </c>
      <c r="O135"/>
      <c r="P135"/>
      <c r="Q135"/>
      <c r="R135"/>
      <c r="S135" s="45"/>
    </row>
    <row r="136" spans="3:19">
      <c r="C136" s="23" t="s">
        <v>16</v>
      </c>
      <c r="D136" s="25">
        <v>2.5</v>
      </c>
      <c r="E136" s="25">
        <v>53</v>
      </c>
      <c r="F136" s="54">
        <f t="shared" si="5"/>
        <v>2.2353311757256699E-2</v>
      </c>
      <c r="O136"/>
      <c r="P136"/>
      <c r="Q136"/>
      <c r="R136"/>
      <c r="S136" s="45"/>
    </row>
    <row r="137" spans="3:19">
      <c r="C137" s="23" t="s">
        <v>16</v>
      </c>
      <c r="D137" s="25">
        <v>7.65</v>
      </c>
      <c r="E137" s="25">
        <v>78</v>
      </c>
      <c r="F137" s="54">
        <f t="shared" si="5"/>
        <v>4.8414933688554561E-2</v>
      </c>
      <c r="O137"/>
      <c r="P137"/>
      <c r="Q137"/>
      <c r="R137"/>
      <c r="S137" s="45"/>
    </row>
    <row r="138" spans="3:19">
      <c r="C138" s="23" t="s">
        <v>16</v>
      </c>
      <c r="D138" s="25">
        <v>20</v>
      </c>
      <c r="E138" s="25">
        <v>70</v>
      </c>
      <c r="F138" s="54">
        <f t="shared" si="5"/>
        <v>3.8992961057514361E-2</v>
      </c>
      <c r="O138"/>
      <c r="P138"/>
      <c r="Q138"/>
      <c r="R138"/>
      <c r="S138" s="45"/>
    </row>
    <row r="139" spans="3:19">
      <c r="C139" s="23" t="s">
        <v>16</v>
      </c>
      <c r="D139" s="25">
        <v>13.24</v>
      </c>
      <c r="E139" s="25">
        <v>15</v>
      </c>
      <c r="F139" s="54">
        <f t="shared" si="5"/>
        <v>1.7904931097838226E-3</v>
      </c>
      <c r="O139"/>
      <c r="P139"/>
      <c r="Q139"/>
      <c r="R139"/>
      <c r="S139" s="45"/>
    </row>
    <row r="140" spans="3:19">
      <c r="C140" s="23" t="s">
        <v>16</v>
      </c>
      <c r="D140" s="25">
        <v>8.5</v>
      </c>
      <c r="E140" s="25">
        <v>46</v>
      </c>
      <c r="F140" s="54">
        <f t="shared" si="5"/>
        <v>1.6838592979122526E-2</v>
      </c>
      <c r="O140"/>
      <c r="P140"/>
      <c r="Q140"/>
      <c r="R140"/>
      <c r="S140" s="45"/>
    </row>
    <row r="141" spans="3:19">
      <c r="C141" s="33" t="s">
        <v>16</v>
      </c>
      <c r="D141" s="34">
        <v>4.7</v>
      </c>
      <c r="E141" s="34">
        <v>60</v>
      </c>
      <c r="F141" s="54">
        <f t="shared" si="5"/>
        <v>2.8647889756541162E-2</v>
      </c>
      <c r="O141"/>
      <c r="P141"/>
      <c r="Q141"/>
      <c r="R141"/>
      <c r="S141" s="45"/>
    </row>
    <row r="142" spans="3:19">
      <c r="C142" s="33" t="s">
        <v>16</v>
      </c>
      <c r="D142" s="34">
        <v>8</v>
      </c>
      <c r="E142" s="34">
        <v>50</v>
      </c>
      <c r="F142" s="54">
        <f t="shared" si="5"/>
        <v>1.9894367886486918E-2</v>
      </c>
      <c r="O142"/>
      <c r="P142"/>
      <c r="Q142"/>
      <c r="R142"/>
      <c r="S142" s="45"/>
    </row>
    <row r="143" spans="3:19">
      <c r="C143" s="33" t="s">
        <v>16</v>
      </c>
      <c r="D143" s="34">
        <v>4.5</v>
      </c>
      <c r="E143" s="34">
        <v>42</v>
      </c>
      <c r="F143" s="54">
        <f t="shared" si="5"/>
        <v>1.4037465980705169E-2</v>
      </c>
      <c r="O143"/>
      <c r="P143"/>
      <c r="Q143"/>
      <c r="R143"/>
      <c r="S143" s="45"/>
    </row>
    <row r="144" spans="3:19">
      <c r="C144" s="33" t="s">
        <v>16</v>
      </c>
      <c r="D144" s="34">
        <v>8.65</v>
      </c>
      <c r="E144" s="34">
        <v>45</v>
      </c>
      <c r="F144" s="54">
        <f t="shared" si="5"/>
        <v>1.6114437988054404E-2</v>
      </c>
      <c r="O144"/>
      <c r="P144"/>
      <c r="Q144"/>
      <c r="R144"/>
      <c r="S144" s="45"/>
    </row>
    <row r="145" spans="3:19">
      <c r="C145" s="33" t="s">
        <v>16</v>
      </c>
      <c r="D145" s="34">
        <v>12.15</v>
      </c>
      <c r="E145" s="34">
        <v>60</v>
      </c>
      <c r="F145" s="54">
        <f t="shared" si="5"/>
        <v>2.8647889756541162E-2</v>
      </c>
      <c r="O145"/>
      <c r="P145"/>
      <c r="Q145"/>
      <c r="R145"/>
      <c r="S145" s="45"/>
    </row>
    <row r="146" spans="3:19">
      <c r="C146" s="33" t="s">
        <v>16</v>
      </c>
      <c r="D146" s="34">
        <v>4.7</v>
      </c>
      <c r="E146" s="34">
        <v>49</v>
      </c>
      <c r="F146" s="54">
        <f t="shared" si="5"/>
        <v>1.9106550918182034E-2</v>
      </c>
      <c r="O146"/>
      <c r="P146"/>
      <c r="Q146"/>
      <c r="R146"/>
      <c r="S146" s="45"/>
    </row>
    <row r="147" spans="3:19">
      <c r="C147" s="33" t="s">
        <v>16</v>
      </c>
      <c r="D147" s="34">
        <v>6.65</v>
      </c>
      <c r="E147" s="34">
        <v>72</v>
      </c>
      <c r="F147" s="54">
        <f t="shared" si="5"/>
        <v>4.1252961249419275E-2</v>
      </c>
      <c r="O147"/>
      <c r="P147"/>
      <c r="Q147"/>
      <c r="R147"/>
      <c r="S147" s="45"/>
    </row>
    <row r="148" spans="3:19">
      <c r="C148" s="33" t="s">
        <v>16</v>
      </c>
      <c r="D148" s="34">
        <v>6.75</v>
      </c>
      <c r="E148" s="34">
        <v>28</v>
      </c>
      <c r="F148" s="54">
        <f t="shared" si="5"/>
        <v>6.2388737692022972E-3</v>
      </c>
      <c r="O148"/>
      <c r="P148"/>
      <c r="Q148"/>
      <c r="R148"/>
      <c r="S148" s="45"/>
    </row>
    <row r="149" spans="3:19">
      <c r="C149" s="33" t="s">
        <v>16</v>
      </c>
      <c r="D149" s="34">
        <v>4.2</v>
      </c>
      <c r="E149" s="34">
        <v>55</v>
      </c>
      <c r="F149" s="54">
        <f t="shared" si="5"/>
        <v>2.407218514264917E-2</v>
      </c>
      <c r="O149"/>
      <c r="P149"/>
      <c r="Q149"/>
      <c r="R149"/>
      <c r="S149" s="45"/>
    </row>
    <row r="150" spans="3:19">
      <c r="C150" s="33" t="s">
        <v>16</v>
      </c>
      <c r="D150" s="34">
        <v>7.5</v>
      </c>
      <c r="E150" s="34">
        <v>52</v>
      </c>
      <c r="F150" s="54">
        <f t="shared" si="5"/>
        <v>2.1517748306024251E-2</v>
      </c>
      <c r="O150"/>
      <c r="P150"/>
      <c r="Q150"/>
      <c r="R150"/>
      <c r="S150" s="45"/>
    </row>
    <row r="151" spans="3:19">
      <c r="C151" s="33" t="s">
        <v>16</v>
      </c>
      <c r="D151" s="34">
        <v>6.2</v>
      </c>
      <c r="E151" s="34">
        <v>28</v>
      </c>
      <c r="F151" s="54">
        <f t="shared" si="5"/>
        <v>6.2388737692022972E-3</v>
      </c>
      <c r="O151"/>
      <c r="P151"/>
      <c r="Q151"/>
      <c r="R151"/>
      <c r="S151" s="45"/>
    </row>
    <row r="152" spans="3:19">
      <c r="C152" s="33" t="s">
        <v>16</v>
      </c>
      <c r="D152" s="34">
        <v>7.9</v>
      </c>
      <c r="E152" s="34">
        <v>29</v>
      </c>
      <c r="F152" s="54">
        <f t="shared" si="5"/>
        <v>6.6924653570141993E-3</v>
      </c>
      <c r="O152"/>
      <c r="P152"/>
      <c r="Q152"/>
      <c r="R152"/>
      <c r="S152" s="45"/>
    </row>
    <row r="153" spans="3:19">
      <c r="C153" s="33" t="s">
        <v>16</v>
      </c>
      <c r="D153" s="34">
        <v>5.5</v>
      </c>
      <c r="E153" s="34">
        <v>18</v>
      </c>
      <c r="F153" s="54">
        <f t="shared" si="5"/>
        <v>2.5783100780887047E-3</v>
      </c>
      <c r="O153" s="22"/>
      <c r="P153"/>
      <c r="Q153"/>
      <c r="R153"/>
      <c r="S153" s="45"/>
    </row>
    <row r="154" spans="3:19">
      <c r="C154" s="23" t="s">
        <v>16</v>
      </c>
      <c r="D154" s="25">
        <v>6.2</v>
      </c>
      <c r="E154" s="25">
        <v>25</v>
      </c>
      <c r="F154" s="54">
        <f t="shared" si="5"/>
        <v>4.9735919716217296E-3</v>
      </c>
      <c r="P154"/>
      <c r="Q154"/>
      <c r="R154"/>
      <c r="S154" s="45"/>
    </row>
    <row r="155" spans="3:19">
      <c r="C155" s="23" t="s">
        <v>16</v>
      </c>
      <c r="D155" s="25">
        <v>4.5599999999999996</v>
      </c>
      <c r="E155" s="25">
        <v>77</v>
      </c>
      <c r="F155" s="54">
        <f t="shared" si="5"/>
        <v>4.7181482879592375E-2</v>
      </c>
    </row>
    <row r="156" spans="3:19">
      <c r="C156" s="23" t="s">
        <v>16</v>
      </c>
      <c r="D156" s="25">
        <v>4.5999999999999996</v>
      </c>
      <c r="E156" s="25">
        <v>103</v>
      </c>
      <c r="F156" s="54">
        <f t="shared" si="5"/>
        <v>8.4423739563095887E-2</v>
      </c>
    </row>
    <row r="157" spans="3:19">
      <c r="C157" s="23" t="s">
        <v>16</v>
      </c>
      <c r="D157" s="25">
        <v>1.55</v>
      </c>
      <c r="E157" s="25">
        <v>19</v>
      </c>
      <c r="F157" s="54">
        <f t="shared" si="5"/>
        <v>2.8727467228087107E-3</v>
      </c>
    </row>
    <row r="158" spans="3:19">
      <c r="C158" s="23" t="s">
        <v>16</v>
      </c>
      <c r="D158" s="25">
        <v>4.8600000000000003</v>
      </c>
      <c r="E158" s="25">
        <v>50</v>
      </c>
      <c r="F158" s="54">
        <f t="shared" si="5"/>
        <v>1.9894367886486918E-2</v>
      </c>
    </row>
    <row r="159" spans="3:19">
      <c r="C159" s="23" t="s">
        <v>16</v>
      </c>
      <c r="D159" s="25">
        <v>4.75</v>
      </c>
      <c r="E159" s="25">
        <v>40</v>
      </c>
      <c r="F159" s="54">
        <f t="shared" si="5"/>
        <v>1.2732395447351627E-2</v>
      </c>
    </row>
    <row r="160" spans="3:19">
      <c r="C160" s="23" t="s">
        <v>16</v>
      </c>
      <c r="D160" s="25">
        <v>3.4</v>
      </c>
      <c r="E160" s="25">
        <v>85</v>
      </c>
      <c r="F160" s="54">
        <f t="shared" si="5"/>
        <v>5.7494723191947192E-2</v>
      </c>
    </row>
    <row r="161" spans="3:6">
      <c r="C161" s="23" t="s">
        <v>16</v>
      </c>
      <c r="D161" s="25">
        <v>7</v>
      </c>
      <c r="E161" s="25">
        <v>51</v>
      </c>
      <c r="F161" s="54">
        <f t="shared" si="5"/>
        <v>2.0698100349100988E-2</v>
      </c>
    </row>
    <row r="162" spans="3:6">
      <c r="C162" s="23" t="s">
        <v>16</v>
      </c>
      <c r="D162" s="25">
        <v>3.2</v>
      </c>
      <c r="E162" s="25">
        <v>55</v>
      </c>
      <c r="F162" s="54">
        <f t="shared" si="5"/>
        <v>2.407218514264917E-2</v>
      </c>
    </row>
    <row r="163" spans="3:6">
      <c r="C163" s="23" t="s">
        <v>16</v>
      </c>
      <c r="D163" s="25">
        <v>14.4</v>
      </c>
      <c r="E163" s="25">
        <v>30</v>
      </c>
      <c r="F163" s="54">
        <f t="shared" si="5"/>
        <v>7.1619724391352906E-3</v>
      </c>
    </row>
    <row r="164" spans="3:6">
      <c r="C164" s="23" t="s">
        <v>16</v>
      </c>
      <c r="D164" s="25">
        <v>3.3</v>
      </c>
      <c r="E164" s="25">
        <v>100</v>
      </c>
      <c r="F164" s="54">
        <f t="shared" si="5"/>
        <v>7.9577471545947673E-2</v>
      </c>
    </row>
    <row r="165" spans="3:6">
      <c r="C165" s="23" t="s">
        <v>16</v>
      </c>
      <c r="D165" s="25">
        <v>5.9</v>
      </c>
      <c r="E165" s="25">
        <v>56</v>
      </c>
      <c r="F165" s="54">
        <f t="shared" si="5"/>
        <v>2.4955495076809189E-2</v>
      </c>
    </row>
    <row r="166" spans="3:6">
      <c r="C166" s="23" t="s">
        <v>16</v>
      </c>
      <c r="D166" s="25">
        <v>8.2799999999999994</v>
      </c>
      <c r="E166" s="25">
        <v>47</v>
      </c>
      <c r="F166" s="54">
        <f t="shared" si="5"/>
        <v>1.7578663464499839E-2</v>
      </c>
    </row>
    <row r="167" spans="3:6">
      <c r="C167" s="23" t="s">
        <v>16</v>
      </c>
      <c r="D167" s="25">
        <v>9.1</v>
      </c>
      <c r="E167" s="25">
        <v>90</v>
      </c>
      <c r="F167" s="54">
        <f t="shared" si="5"/>
        <v>6.4457751952217618E-2</v>
      </c>
    </row>
    <row r="168" spans="3:6">
      <c r="C168" s="23" t="s">
        <v>16</v>
      </c>
      <c r="D168" s="25">
        <v>7.35</v>
      </c>
      <c r="E168" s="25">
        <v>26</v>
      </c>
      <c r="F168" s="54">
        <f t="shared" si="5"/>
        <v>5.3794370765060627E-3</v>
      </c>
    </row>
    <row r="169" spans="3:6">
      <c r="C169" s="23" t="s">
        <v>16</v>
      </c>
      <c r="D169" s="25">
        <v>8.4499999999999993</v>
      </c>
      <c r="E169" s="25">
        <v>68</v>
      </c>
      <c r="F169" s="54">
        <f t="shared" si="5"/>
        <v>3.6796622842846204E-2</v>
      </c>
    </row>
    <row r="170" spans="3:6">
      <c r="C170" s="23" t="s">
        <v>16</v>
      </c>
      <c r="D170" s="25">
        <v>4.87</v>
      </c>
      <c r="E170" s="25">
        <v>51</v>
      </c>
      <c r="F170" s="54">
        <f t="shared" si="5"/>
        <v>2.0698100349100988E-2</v>
      </c>
    </row>
    <row r="171" spans="3:6">
      <c r="C171" s="23" t="s">
        <v>16</v>
      </c>
      <c r="D171" s="25">
        <v>6.2</v>
      </c>
      <c r="E171" s="25">
        <v>66</v>
      </c>
      <c r="F171" s="54">
        <f t="shared" si="5"/>
        <v>3.4663946605414803E-2</v>
      </c>
    </row>
    <row r="172" spans="3:6">
      <c r="C172" s="23" t="s">
        <v>16</v>
      </c>
      <c r="D172" s="25">
        <v>4.4000000000000004</v>
      </c>
      <c r="E172" s="25">
        <v>16</v>
      </c>
      <c r="F172" s="54">
        <f t="shared" si="5"/>
        <v>2.0371832715762603E-3</v>
      </c>
    </row>
    <row r="173" spans="3:6">
      <c r="C173" s="23" t="s">
        <v>25</v>
      </c>
      <c r="D173" s="25">
        <v>5.65</v>
      </c>
      <c r="E173" s="25">
        <v>170</v>
      </c>
      <c r="F173" s="54">
        <f t="shared" si="5"/>
        <v>0.22997889276778877</v>
      </c>
    </row>
    <row r="174" spans="3:6">
      <c r="C174" s="23" t="s">
        <v>25</v>
      </c>
      <c r="D174" s="25">
        <v>14.5</v>
      </c>
      <c r="E174" s="25">
        <v>190</v>
      </c>
      <c r="F174" s="54">
        <f t="shared" si="5"/>
        <v>0.28727467228087111</v>
      </c>
    </row>
    <row r="175" spans="3:6">
      <c r="C175" s="23" t="s">
        <v>25</v>
      </c>
      <c r="D175" s="25">
        <v>2.66</v>
      </c>
      <c r="E175" s="25">
        <v>48</v>
      </c>
      <c r="F175" s="54">
        <f t="shared" si="5"/>
        <v>1.8334649444186342E-2</v>
      </c>
    </row>
    <row r="176" spans="3:6">
      <c r="C176" s="23" t="s">
        <v>25</v>
      </c>
      <c r="D176" s="25">
        <v>5.94</v>
      </c>
      <c r="E176" s="25">
        <v>23</v>
      </c>
      <c r="F176" s="54">
        <f t="shared" si="5"/>
        <v>4.2096482447806314E-3</v>
      </c>
    </row>
    <row r="177" spans="3:6">
      <c r="C177" s="23" t="s">
        <v>25</v>
      </c>
      <c r="D177" s="25">
        <v>5.6</v>
      </c>
      <c r="E177" s="25">
        <v>80</v>
      </c>
      <c r="F177" s="54">
        <f t="shared" si="5"/>
        <v>5.0929581789406507E-2</v>
      </c>
    </row>
    <row r="178" spans="3:6">
      <c r="C178" s="23" t="s">
        <v>25</v>
      </c>
      <c r="D178" s="25">
        <v>5.14</v>
      </c>
      <c r="E178" s="25">
        <v>126</v>
      </c>
      <c r="F178" s="54">
        <f t="shared" si="5"/>
        <v>0.12633719382634653</v>
      </c>
    </row>
    <row r="179" spans="3:6">
      <c r="C179" s="23" t="s">
        <v>25</v>
      </c>
      <c r="D179" s="25">
        <v>12.54</v>
      </c>
      <c r="E179" s="25">
        <v>200</v>
      </c>
      <c r="F179" s="54">
        <f t="shared" si="5"/>
        <v>0.31830988618379069</v>
      </c>
    </row>
    <row r="180" spans="3:6">
      <c r="C180" s="23" t="s">
        <v>25</v>
      </c>
      <c r="D180" s="25">
        <v>12.5</v>
      </c>
      <c r="E180" s="25">
        <v>115</v>
      </c>
      <c r="F180" s="54">
        <f t="shared" si="5"/>
        <v>0.10524120611951579</v>
      </c>
    </row>
    <row r="181" spans="3:6">
      <c r="C181" s="23" t="s">
        <v>25</v>
      </c>
      <c r="D181" s="25">
        <v>17</v>
      </c>
      <c r="E181" s="25">
        <v>30</v>
      </c>
      <c r="F181" s="54">
        <f t="shared" si="5"/>
        <v>7.1619724391352906E-3</v>
      </c>
    </row>
    <row r="182" spans="3:6">
      <c r="C182" s="23" t="s">
        <v>25</v>
      </c>
      <c r="D182" s="25">
        <v>21.17</v>
      </c>
      <c r="E182" s="25">
        <v>225</v>
      </c>
      <c r="F182" s="54">
        <f t="shared" si="5"/>
        <v>0.40286094970136005</v>
      </c>
    </row>
    <row r="183" spans="3:6">
      <c r="C183" s="23" t="s">
        <v>25</v>
      </c>
      <c r="D183" s="25">
        <v>3.25</v>
      </c>
      <c r="E183" s="25">
        <v>200</v>
      </c>
      <c r="F183" s="54">
        <f t="shared" si="5"/>
        <v>0.31830988618379069</v>
      </c>
    </row>
    <row r="184" spans="3:6">
      <c r="C184" s="23" t="s">
        <v>25</v>
      </c>
      <c r="D184" s="25">
        <v>14.52</v>
      </c>
      <c r="E184" s="25">
        <v>235</v>
      </c>
      <c r="F184" s="54">
        <f t="shared" si="5"/>
        <v>0.43946658661249599</v>
      </c>
    </row>
    <row r="185" spans="3:6">
      <c r="C185" s="23" t="s">
        <v>27</v>
      </c>
      <c r="D185" s="26">
        <v>1.45</v>
      </c>
      <c r="E185" s="26">
        <v>24</v>
      </c>
      <c r="F185" s="54">
        <f t="shared" si="5"/>
        <v>4.5836623610465855E-3</v>
      </c>
    </row>
    <row r="186" spans="3:6">
      <c r="C186" s="23" t="s">
        <v>27</v>
      </c>
      <c r="D186" s="26">
        <v>4.5599999999999996</v>
      </c>
      <c r="E186" s="26">
        <v>53</v>
      </c>
      <c r="F186" s="54">
        <f t="shared" si="5"/>
        <v>2.2353311757256699E-2</v>
      </c>
    </row>
    <row r="187" spans="3:6">
      <c r="C187" s="23" t="s">
        <v>27</v>
      </c>
      <c r="D187" s="24">
        <v>7.64</v>
      </c>
      <c r="E187" s="24">
        <v>18</v>
      </c>
      <c r="F187" s="54">
        <f t="shared" si="5"/>
        <v>2.5783100780887047E-3</v>
      </c>
    </row>
    <row r="188" spans="3:6">
      <c r="C188" s="23" t="s">
        <v>27</v>
      </c>
      <c r="D188" s="25">
        <v>2.84</v>
      </c>
      <c r="E188" s="25">
        <v>17</v>
      </c>
      <c r="F188" s="54">
        <f t="shared" si="5"/>
        <v>2.2997889276778877E-3</v>
      </c>
    </row>
    <row r="189" spans="3:6">
      <c r="C189" s="23" t="s">
        <v>27</v>
      </c>
      <c r="D189" s="25">
        <v>11</v>
      </c>
      <c r="E189" s="25">
        <v>15</v>
      </c>
      <c r="F189" s="54">
        <f t="shared" si="5"/>
        <v>1.7904931097838226E-3</v>
      </c>
    </row>
    <row r="190" spans="3:6">
      <c r="C190" s="23" t="s">
        <v>27</v>
      </c>
      <c r="D190" s="25">
        <v>10.199999999999999</v>
      </c>
      <c r="E190" s="25">
        <v>60</v>
      </c>
      <c r="F190" s="54">
        <f t="shared" si="5"/>
        <v>2.8647889756541162E-2</v>
      </c>
    </row>
    <row r="191" spans="3:6">
      <c r="C191" s="23" t="s">
        <v>27</v>
      </c>
      <c r="D191" s="25">
        <v>8.67</v>
      </c>
      <c r="E191" s="25">
        <v>35</v>
      </c>
      <c r="F191" s="54">
        <f t="shared" si="5"/>
        <v>9.7482402643785902E-3</v>
      </c>
    </row>
    <row r="192" spans="3:6">
      <c r="C192" s="23" t="s">
        <v>27</v>
      </c>
      <c r="D192" s="25">
        <v>3.8</v>
      </c>
      <c r="E192" s="25">
        <v>30</v>
      </c>
      <c r="F192" s="54">
        <f t="shared" si="5"/>
        <v>7.1619724391352906E-3</v>
      </c>
    </row>
    <row r="193" spans="3:6">
      <c r="C193" s="23" t="s">
        <v>27</v>
      </c>
      <c r="D193" s="25">
        <v>10</v>
      </c>
      <c r="E193" s="25">
        <v>35</v>
      </c>
      <c r="F193" s="54">
        <f t="shared" si="5"/>
        <v>9.7482402643785902E-3</v>
      </c>
    </row>
    <row r="194" spans="3:6">
      <c r="C194" s="23" t="s">
        <v>27</v>
      </c>
      <c r="D194" s="25">
        <v>12.85</v>
      </c>
      <c r="E194" s="25">
        <v>15</v>
      </c>
      <c r="F194" s="54">
        <f t="shared" si="5"/>
        <v>1.7904931097838226E-3</v>
      </c>
    </row>
    <row r="195" spans="3:6">
      <c r="C195" s="23" t="s">
        <v>27</v>
      </c>
      <c r="D195" s="25">
        <v>11.31</v>
      </c>
      <c r="E195" s="25">
        <v>25</v>
      </c>
      <c r="F195" s="54">
        <f t="shared" ref="F195:F258" si="6">E195*E195/(4*PI()*10000)</f>
        <v>4.9735919716217296E-3</v>
      </c>
    </row>
    <row r="196" spans="3:6">
      <c r="C196" s="23" t="s">
        <v>27</v>
      </c>
      <c r="D196" s="26">
        <v>1.45</v>
      </c>
      <c r="E196" s="26">
        <v>24</v>
      </c>
      <c r="F196" s="54">
        <f t="shared" si="6"/>
        <v>4.5836623610465855E-3</v>
      </c>
    </row>
    <row r="197" spans="3:6">
      <c r="C197" s="23" t="s">
        <v>27</v>
      </c>
      <c r="D197" s="26">
        <v>3.13</v>
      </c>
      <c r="E197" s="26">
        <v>25</v>
      </c>
      <c r="F197" s="54">
        <f t="shared" si="6"/>
        <v>4.9735919716217296E-3</v>
      </c>
    </row>
    <row r="198" spans="3:6">
      <c r="C198" s="23" t="s">
        <v>27</v>
      </c>
      <c r="D198" s="25">
        <v>2.84</v>
      </c>
      <c r="E198" s="25">
        <v>17</v>
      </c>
      <c r="F198" s="54">
        <f t="shared" si="6"/>
        <v>2.2997889276778877E-3</v>
      </c>
    </row>
    <row r="199" spans="3:6">
      <c r="C199" s="23" t="s">
        <v>27</v>
      </c>
      <c r="D199" s="25">
        <v>4.75</v>
      </c>
      <c r="E199" s="25">
        <v>28</v>
      </c>
      <c r="F199" s="54">
        <f t="shared" si="6"/>
        <v>6.2388737692022972E-3</v>
      </c>
    </row>
    <row r="200" spans="3:6">
      <c r="C200" s="23" t="s">
        <v>21</v>
      </c>
      <c r="D200" s="25">
        <v>4.8499999999999996</v>
      </c>
      <c r="E200" s="25">
        <v>16</v>
      </c>
      <c r="F200" s="54">
        <f t="shared" si="6"/>
        <v>2.0371832715762603E-3</v>
      </c>
    </row>
    <row r="201" spans="3:6">
      <c r="C201" s="23" t="s">
        <v>21</v>
      </c>
      <c r="D201" s="25">
        <v>2.6</v>
      </c>
      <c r="E201" s="25">
        <v>33</v>
      </c>
      <c r="F201" s="54">
        <f t="shared" si="6"/>
        <v>8.6659866513537007E-3</v>
      </c>
    </row>
    <row r="202" spans="3:6">
      <c r="C202" s="23" t="s">
        <v>21</v>
      </c>
      <c r="D202" s="25">
        <v>5.55</v>
      </c>
      <c r="E202" s="25">
        <v>23</v>
      </c>
      <c r="F202" s="54">
        <f t="shared" si="6"/>
        <v>4.2096482447806314E-3</v>
      </c>
    </row>
    <row r="203" spans="3:6">
      <c r="C203" s="23" t="s">
        <v>21</v>
      </c>
      <c r="D203" s="25">
        <v>8.85</v>
      </c>
      <c r="E203" s="25">
        <v>47</v>
      </c>
      <c r="F203" s="54">
        <f t="shared" si="6"/>
        <v>1.7578663464499839E-2</v>
      </c>
    </row>
    <row r="204" spans="3:6">
      <c r="C204" s="23" t="s">
        <v>21</v>
      </c>
      <c r="D204" s="25">
        <v>6.42</v>
      </c>
      <c r="E204" s="25">
        <v>15</v>
      </c>
      <c r="F204" s="54">
        <f t="shared" si="6"/>
        <v>1.7904931097838226E-3</v>
      </c>
    </row>
    <row r="205" spans="3:6">
      <c r="C205" s="23" t="s">
        <v>21</v>
      </c>
      <c r="D205" s="25">
        <v>7.13</v>
      </c>
      <c r="E205" s="25">
        <v>18</v>
      </c>
      <c r="F205" s="54">
        <f t="shared" si="6"/>
        <v>2.5783100780887047E-3</v>
      </c>
    </row>
    <row r="206" spans="3:6">
      <c r="C206" s="23" t="s">
        <v>21</v>
      </c>
      <c r="D206" s="25">
        <v>10.37</v>
      </c>
      <c r="E206" s="25">
        <v>15</v>
      </c>
      <c r="F206" s="54">
        <f t="shared" si="6"/>
        <v>1.7904931097838226E-3</v>
      </c>
    </row>
    <row r="207" spans="3:6">
      <c r="C207" s="23" t="s">
        <v>21</v>
      </c>
      <c r="D207" s="25">
        <v>8.44</v>
      </c>
      <c r="E207" s="25">
        <v>20</v>
      </c>
      <c r="F207" s="54">
        <f t="shared" si="6"/>
        <v>3.1830988618379067E-3</v>
      </c>
    </row>
    <row r="208" spans="3:6">
      <c r="C208" s="23" t="s">
        <v>21</v>
      </c>
      <c r="D208" s="25">
        <v>2.25</v>
      </c>
      <c r="E208" s="25">
        <v>20</v>
      </c>
      <c r="F208" s="54">
        <f t="shared" si="6"/>
        <v>3.1830988618379067E-3</v>
      </c>
    </row>
    <row r="209" spans="3:6">
      <c r="C209" s="23" t="s">
        <v>21</v>
      </c>
      <c r="D209" s="25">
        <v>2.5499999999999998</v>
      </c>
      <c r="E209" s="25">
        <v>95</v>
      </c>
      <c r="F209" s="54">
        <f t="shared" si="6"/>
        <v>7.1818668070217778E-2</v>
      </c>
    </row>
    <row r="210" spans="3:6">
      <c r="C210" s="23" t="s">
        <v>21</v>
      </c>
      <c r="D210" s="26">
        <v>6.7</v>
      </c>
      <c r="E210" s="26">
        <v>22</v>
      </c>
      <c r="F210" s="54">
        <f t="shared" si="6"/>
        <v>3.8515496228238673E-3</v>
      </c>
    </row>
    <row r="211" spans="3:6">
      <c r="C211" s="23" t="s">
        <v>21</v>
      </c>
      <c r="D211" s="26">
        <v>2.62</v>
      </c>
      <c r="E211" s="26">
        <v>22</v>
      </c>
      <c r="F211" s="54">
        <f t="shared" si="6"/>
        <v>3.8515496228238673E-3</v>
      </c>
    </row>
    <row r="212" spans="3:6">
      <c r="C212" s="23" t="s">
        <v>21</v>
      </c>
      <c r="D212" s="26">
        <v>17.7</v>
      </c>
      <c r="E212" s="26">
        <v>15</v>
      </c>
      <c r="F212" s="54">
        <f t="shared" si="6"/>
        <v>1.7904931097838226E-3</v>
      </c>
    </row>
    <row r="213" spans="3:6">
      <c r="C213" s="23" t="s">
        <v>21</v>
      </c>
      <c r="D213" s="26">
        <v>5.8</v>
      </c>
      <c r="E213" s="32">
        <v>129</v>
      </c>
      <c r="F213" s="54">
        <f t="shared" si="6"/>
        <v>0.13242487039961151</v>
      </c>
    </row>
    <row r="214" spans="3:6">
      <c r="C214" s="23" t="s">
        <v>21</v>
      </c>
      <c r="D214" s="25">
        <v>7.15</v>
      </c>
      <c r="E214" s="25">
        <v>57</v>
      </c>
      <c r="F214" s="54">
        <f t="shared" si="6"/>
        <v>2.5854720505278397E-2</v>
      </c>
    </row>
    <row r="215" spans="3:6">
      <c r="C215" s="23" t="s">
        <v>21</v>
      </c>
      <c r="D215" s="25">
        <v>5.86</v>
      </c>
      <c r="E215" s="31">
        <v>61</v>
      </c>
      <c r="F215" s="54">
        <f t="shared" si="6"/>
        <v>2.9610777162247127E-2</v>
      </c>
    </row>
    <row r="216" spans="3:6">
      <c r="C216" s="23" t="s">
        <v>21</v>
      </c>
      <c r="D216" s="25">
        <v>9.8000000000000007</v>
      </c>
      <c r="E216" s="25">
        <v>17</v>
      </c>
      <c r="F216" s="54">
        <f t="shared" si="6"/>
        <v>2.2997889276778877E-3</v>
      </c>
    </row>
    <row r="217" spans="3:6">
      <c r="C217" s="23" t="s">
        <v>21</v>
      </c>
      <c r="D217" s="25">
        <v>11.5</v>
      </c>
      <c r="E217" s="25">
        <v>16</v>
      </c>
      <c r="F217" s="54">
        <f t="shared" si="6"/>
        <v>2.0371832715762603E-3</v>
      </c>
    </row>
    <row r="218" spans="3:6">
      <c r="C218" s="23" t="s">
        <v>21</v>
      </c>
      <c r="D218" s="25">
        <v>13.2</v>
      </c>
      <c r="E218" s="25">
        <v>95</v>
      </c>
      <c r="F218" s="54">
        <f t="shared" si="6"/>
        <v>7.1818668070217778E-2</v>
      </c>
    </row>
    <row r="219" spans="3:6">
      <c r="C219" s="28" t="s">
        <v>21</v>
      </c>
      <c r="D219" s="27">
        <v>7.65</v>
      </c>
      <c r="E219" s="27">
        <v>55</v>
      </c>
      <c r="F219" s="54">
        <f t="shared" si="6"/>
        <v>2.407218514264917E-2</v>
      </c>
    </row>
    <row r="220" spans="3:6">
      <c r="C220" s="23" t="s">
        <v>21</v>
      </c>
      <c r="D220" s="25">
        <v>17.170000000000002</v>
      </c>
      <c r="E220" s="25">
        <v>130</v>
      </c>
      <c r="F220" s="54">
        <f t="shared" si="6"/>
        <v>0.13448592691265157</v>
      </c>
    </row>
    <row r="221" spans="3:6">
      <c r="C221" s="23" t="s">
        <v>21</v>
      </c>
      <c r="D221" s="25">
        <v>3.6</v>
      </c>
      <c r="E221" s="25">
        <v>116</v>
      </c>
      <c r="F221" s="54">
        <f t="shared" si="6"/>
        <v>0.10707944571222719</v>
      </c>
    </row>
    <row r="222" spans="3:6">
      <c r="C222" s="23" t="s">
        <v>21</v>
      </c>
      <c r="D222" s="26">
        <v>6.4</v>
      </c>
      <c r="E222" s="26">
        <v>100</v>
      </c>
      <c r="F222" s="54">
        <f t="shared" si="6"/>
        <v>7.9577471545947673E-2</v>
      </c>
    </row>
    <row r="223" spans="3:6">
      <c r="C223" s="23" t="s">
        <v>21</v>
      </c>
      <c r="D223" s="26">
        <v>2</v>
      </c>
      <c r="E223" s="32">
        <v>28</v>
      </c>
      <c r="F223" s="54">
        <f t="shared" si="6"/>
        <v>6.2388737692022972E-3</v>
      </c>
    </row>
    <row r="224" spans="3:6">
      <c r="C224" s="23" t="s">
        <v>21</v>
      </c>
      <c r="D224" s="26">
        <v>7.42</v>
      </c>
      <c r="E224" s="32">
        <v>110</v>
      </c>
      <c r="F224" s="54">
        <f t="shared" si="6"/>
        <v>9.6288740570596679E-2</v>
      </c>
    </row>
    <row r="225" spans="3:6">
      <c r="C225" s="23" t="s">
        <v>21</v>
      </c>
      <c r="D225" s="26">
        <v>6.8</v>
      </c>
      <c r="E225" s="26">
        <v>65</v>
      </c>
      <c r="F225" s="54">
        <f t="shared" si="6"/>
        <v>3.3621481728162893E-2</v>
      </c>
    </row>
    <row r="226" spans="3:6">
      <c r="C226" s="23" t="s">
        <v>21</v>
      </c>
      <c r="D226" s="26">
        <v>4.37</v>
      </c>
      <c r="E226" s="26">
        <v>85</v>
      </c>
      <c r="F226" s="54">
        <f t="shared" si="6"/>
        <v>5.7494723191947192E-2</v>
      </c>
    </row>
    <row r="227" spans="3:6">
      <c r="C227" s="23" t="s">
        <v>21</v>
      </c>
      <c r="D227" s="25">
        <v>6.25</v>
      </c>
      <c r="E227" s="25">
        <v>100</v>
      </c>
      <c r="F227" s="54">
        <f t="shared" si="6"/>
        <v>7.9577471545947673E-2</v>
      </c>
    </row>
    <row r="228" spans="3:6">
      <c r="C228" s="23" t="s">
        <v>21</v>
      </c>
      <c r="D228" s="25">
        <v>8.35</v>
      </c>
      <c r="E228" s="25">
        <v>180</v>
      </c>
      <c r="F228" s="54">
        <f t="shared" si="6"/>
        <v>0.25783100780887047</v>
      </c>
    </row>
    <row r="229" spans="3:6">
      <c r="C229" s="23" t="s">
        <v>21</v>
      </c>
      <c r="D229" s="25">
        <v>12.25</v>
      </c>
      <c r="E229" s="25">
        <v>126</v>
      </c>
      <c r="F229" s="54">
        <f t="shared" si="6"/>
        <v>0.12633719382634653</v>
      </c>
    </row>
    <row r="230" spans="3:6">
      <c r="C230" s="23" t="s">
        <v>21</v>
      </c>
      <c r="D230" s="25">
        <v>16.5</v>
      </c>
      <c r="E230" s="25">
        <v>155</v>
      </c>
      <c r="F230" s="54">
        <f t="shared" si="6"/>
        <v>0.19118487538913928</v>
      </c>
    </row>
    <row r="231" spans="3:6">
      <c r="C231" s="28" t="s">
        <v>21</v>
      </c>
      <c r="D231" s="27">
        <v>7.3</v>
      </c>
      <c r="E231" s="27">
        <v>192</v>
      </c>
      <c r="F231" s="54">
        <f t="shared" si="6"/>
        <v>0.29335439110698147</v>
      </c>
    </row>
    <row r="232" spans="3:6">
      <c r="C232" s="23" t="s">
        <v>21</v>
      </c>
      <c r="D232" s="25">
        <v>2.35</v>
      </c>
      <c r="E232" s="25">
        <v>119</v>
      </c>
      <c r="F232" s="54">
        <f t="shared" si="6"/>
        <v>0.11268965745621649</v>
      </c>
    </row>
    <row r="233" spans="3:6">
      <c r="C233" s="23" t="s">
        <v>21</v>
      </c>
      <c r="D233" s="25">
        <v>7.2</v>
      </c>
      <c r="E233" s="25">
        <v>15</v>
      </c>
      <c r="F233" s="54">
        <f t="shared" si="6"/>
        <v>1.7904931097838226E-3</v>
      </c>
    </row>
    <row r="234" spans="3:6">
      <c r="C234" s="23" t="s">
        <v>21</v>
      </c>
      <c r="D234" s="25">
        <v>5.15</v>
      </c>
      <c r="E234" s="25">
        <v>19</v>
      </c>
      <c r="F234" s="54">
        <f t="shared" si="6"/>
        <v>2.8727467228087107E-3</v>
      </c>
    </row>
    <row r="235" spans="3:6">
      <c r="C235" s="23" t="s">
        <v>21</v>
      </c>
      <c r="D235" s="25">
        <v>34</v>
      </c>
      <c r="E235" s="25">
        <v>100</v>
      </c>
      <c r="F235" s="54">
        <f t="shared" si="6"/>
        <v>7.9577471545947673E-2</v>
      </c>
    </row>
    <row r="236" spans="3:6">
      <c r="C236" s="23" t="s">
        <v>21</v>
      </c>
      <c r="D236" s="25">
        <v>17.100000000000001</v>
      </c>
      <c r="E236" s="25">
        <v>112</v>
      </c>
      <c r="F236" s="54">
        <f t="shared" si="6"/>
        <v>9.9821980307236755E-2</v>
      </c>
    </row>
    <row r="237" spans="3:6">
      <c r="C237" s="23" t="s">
        <v>21</v>
      </c>
      <c r="D237" s="25">
        <v>15.45</v>
      </c>
      <c r="E237" s="25">
        <v>30</v>
      </c>
      <c r="F237" s="54">
        <f t="shared" si="6"/>
        <v>7.1619724391352906E-3</v>
      </c>
    </row>
    <row r="238" spans="3:6">
      <c r="C238" s="23" t="s">
        <v>21</v>
      </c>
      <c r="D238" s="25">
        <v>12.14</v>
      </c>
      <c r="E238" s="25">
        <v>15</v>
      </c>
      <c r="F238" s="54">
        <f t="shared" si="6"/>
        <v>1.7904931097838226E-3</v>
      </c>
    </row>
    <row r="239" spans="3:6">
      <c r="C239" s="33" t="s">
        <v>21</v>
      </c>
      <c r="D239" s="34">
        <v>6.5</v>
      </c>
      <c r="E239" s="34">
        <v>50</v>
      </c>
      <c r="F239" s="54">
        <f t="shared" si="6"/>
        <v>1.9894367886486918E-2</v>
      </c>
    </row>
    <row r="240" spans="3:6">
      <c r="C240" s="33" t="s">
        <v>21</v>
      </c>
      <c r="D240" s="34">
        <v>3.25</v>
      </c>
      <c r="E240" s="34">
        <v>18</v>
      </c>
      <c r="F240" s="54">
        <f t="shared" si="6"/>
        <v>2.5783100780887047E-3</v>
      </c>
    </row>
    <row r="241" spans="3:6">
      <c r="C241" s="33" t="s">
        <v>21</v>
      </c>
      <c r="D241" s="34">
        <v>5.9</v>
      </c>
      <c r="E241" s="34">
        <v>90</v>
      </c>
      <c r="F241" s="54">
        <f t="shared" si="6"/>
        <v>6.4457751952217618E-2</v>
      </c>
    </row>
    <row r="242" spans="3:6">
      <c r="C242" s="33" t="s">
        <v>21</v>
      </c>
      <c r="D242" s="34">
        <v>6.6</v>
      </c>
      <c r="E242" s="34">
        <v>70</v>
      </c>
      <c r="F242" s="54">
        <f t="shared" si="6"/>
        <v>3.8992961057514361E-2</v>
      </c>
    </row>
    <row r="243" spans="3:6">
      <c r="C243" s="28" t="s">
        <v>21</v>
      </c>
      <c r="D243" s="27">
        <v>6.45</v>
      </c>
      <c r="E243" s="27">
        <v>83</v>
      </c>
      <c r="F243" s="54">
        <f t="shared" si="6"/>
        <v>5.4820920148003348E-2</v>
      </c>
    </row>
    <row r="244" spans="3:6">
      <c r="C244" s="33" t="s">
        <v>21</v>
      </c>
      <c r="D244" s="34">
        <v>4.6500000000000004</v>
      </c>
      <c r="E244" s="34">
        <v>56</v>
      </c>
      <c r="F244" s="54">
        <f t="shared" si="6"/>
        <v>2.4955495076809189E-2</v>
      </c>
    </row>
    <row r="245" spans="3:6">
      <c r="C245" s="23" t="s">
        <v>21</v>
      </c>
      <c r="D245" s="26">
        <v>6.48</v>
      </c>
      <c r="E245" s="26">
        <v>75</v>
      </c>
      <c r="F245" s="54">
        <f t="shared" si="6"/>
        <v>4.4762327744595563E-2</v>
      </c>
    </row>
    <row r="246" spans="3:6">
      <c r="C246" s="23" t="s">
        <v>21</v>
      </c>
      <c r="D246" s="26">
        <v>2.2999999999999998</v>
      </c>
      <c r="E246" s="26">
        <v>20</v>
      </c>
      <c r="F246" s="54">
        <f t="shared" si="6"/>
        <v>3.1830988618379067E-3</v>
      </c>
    </row>
    <row r="247" spans="3:6">
      <c r="C247" s="23" t="s">
        <v>21</v>
      </c>
      <c r="D247" s="26">
        <v>1.95</v>
      </c>
      <c r="E247" s="26">
        <v>33</v>
      </c>
      <c r="F247" s="54">
        <f t="shared" si="6"/>
        <v>8.6659866513537007E-3</v>
      </c>
    </row>
    <row r="248" spans="3:6">
      <c r="C248" s="23" t="s">
        <v>21</v>
      </c>
      <c r="D248" s="26">
        <v>13.84</v>
      </c>
      <c r="E248" s="26">
        <v>170</v>
      </c>
      <c r="F248" s="54">
        <f t="shared" si="6"/>
        <v>0.22997889276778877</v>
      </c>
    </row>
    <row r="249" spans="3:6">
      <c r="C249" s="23" t="s">
        <v>21</v>
      </c>
      <c r="D249" s="26">
        <v>20.29</v>
      </c>
      <c r="E249" s="26">
        <v>27</v>
      </c>
      <c r="F249" s="54">
        <f t="shared" si="6"/>
        <v>5.801197675699585E-3</v>
      </c>
    </row>
    <row r="250" spans="3:6">
      <c r="C250" s="23" t="s">
        <v>21</v>
      </c>
      <c r="D250" s="26">
        <v>5.27</v>
      </c>
      <c r="E250" s="26">
        <v>65</v>
      </c>
      <c r="F250" s="54">
        <f t="shared" si="6"/>
        <v>3.3621481728162893E-2</v>
      </c>
    </row>
    <row r="251" spans="3:6">
      <c r="C251" s="23" t="s">
        <v>19</v>
      </c>
      <c r="D251" s="27">
        <v>7.8</v>
      </c>
      <c r="E251" s="27">
        <v>22</v>
      </c>
      <c r="F251" s="54">
        <f t="shared" si="6"/>
        <v>3.8515496228238673E-3</v>
      </c>
    </row>
    <row r="252" spans="3:6">
      <c r="C252" s="23" t="s">
        <v>19</v>
      </c>
      <c r="D252" s="25">
        <v>1.2</v>
      </c>
      <c r="E252" s="25">
        <v>69</v>
      </c>
      <c r="F252" s="54">
        <f t="shared" si="6"/>
        <v>3.7886834203025688E-2</v>
      </c>
    </row>
    <row r="253" spans="3:6">
      <c r="C253" s="23" t="s">
        <v>19</v>
      </c>
      <c r="D253" s="25">
        <v>10.43</v>
      </c>
      <c r="E253" s="25">
        <v>25</v>
      </c>
      <c r="F253" s="54">
        <f t="shared" si="6"/>
        <v>4.9735919716217296E-3</v>
      </c>
    </row>
    <row r="254" spans="3:6">
      <c r="C254" s="23" t="s">
        <v>19</v>
      </c>
      <c r="D254" s="25">
        <v>6.47</v>
      </c>
      <c r="E254" s="25">
        <v>149</v>
      </c>
      <c r="F254" s="54">
        <f t="shared" si="6"/>
        <v>0.17666994457915841</v>
      </c>
    </row>
    <row r="255" spans="3:6">
      <c r="C255" s="23" t="s">
        <v>19</v>
      </c>
      <c r="D255" s="25">
        <v>1.3</v>
      </c>
      <c r="E255" s="25">
        <v>18</v>
      </c>
      <c r="F255" s="54">
        <f t="shared" si="6"/>
        <v>2.5783100780887047E-3</v>
      </c>
    </row>
    <row r="256" spans="3:6">
      <c r="C256" s="23" t="s">
        <v>19</v>
      </c>
      <c r="D256" s="25">
        <v>7</v>
      </c>
      <c r="E256" s="25">
        <v>130</v>
      </c>
      <c r="F256" s="54">
        <f t="shared" si="6"/>
        <v>0.13448592691265157</v>
      </c>
    </row>
    <row r="257" spans="3:6">
      <c r="C257" s="23" t="s">
        <v>19</v>
      </c>
      <c r="D257" s="25">
        <v>3.6</v>
      </c>
      <c r="E257" s="25">
        <v>60</v>
      </c>
      <c r="F257" s="54">
        <f t="shared" si="6"/>
        <v>2.8647889756541162E-2</v>
      </c>
    </row>
    <row r="258" spans="3:6">
      <c r="C258" s="23" t="s">
        <v>19</v>
      </c>
      <c r="D258" s="25">
        <v>4.9400000000000004</v>
      </c>
      <c r="E258" s="25">
        <v>78</v>
      </c>
      <c r="F258" s="54">
        <f t="shared" si="6"/>
        <v>4.8414933688554561E-2</v>
      </c>
    </row>
    <row r="259" spans="3:6">
      <c r="C259" s="23" t="s">
        <v>19</v>
      </c>
      <c r="D259" s="25">
        <v>4.58</v>
      </c>
      <c r="E259" s="25">
        <v>82</v>
      </c>
      <c r="F259" s="54">
        <f t="shared" ref="F259:F322" si="7">E259*E259/(4*PI()*10000)</f>
        <v>5.3507891867495209E-2</v>
      </c>
    </row>
    <row r="260" spans="3:6">
      <c r="C260" s="23" t="s">
        <v>19</v>
      </c>
      <c r="D260" s="25">
        <v>8.5500000000000007</v>
      </c>
      <c r="E260" s="25">
        <v>60</v>
      </c>
      <c r="F260" s="54">
        <f t="shared" si="7"/>
        <v>2.8647889756541162E-2</v>
      </c>
    </row>
    <row r="261" spans="3:6">
      <c r="C261" s="23" t="s">
        <v>19</v>
      </c>
      <c r="D261" s="25">
        <v>0.75</v>
      </c>
      <c r="E261" s="25">
        <v>126</v>
      </c>
      <c r="F261" s="54">
        <f t="shared" si="7"/>
        <v>0.12633719382634653</v>
      </c>
    </row>
    <row r="262" spans="3:6">
      <c r="C262" s="23" t="s">
        <v>19</v>
      </c>
      <c r="D262" s="25">
        <v>4.75</v>
      </c>
      <c r="E262" s="25">
        <v>65</v>
      </c>
      <c r="F262" s="54">
        <f t="shared" si="7"/>
        <v>3.3621481728162893E-2</v>
      </c>
    </row>
    <row r="263" spans="3:6">
      <c r="C263" s="23" t="s">
        <v>19</v>
      </c>
      <c r="D263" s="25">
        <v>5.28</v>
      </c>
      <c r="E263" s="25">
        <v>109</v>
      </c>
      <c r="F263" s="54">
        <f t="shared" si="7"/>
        <v>9.4545993943740428E-2</v>
      </c>
    </row>
    <row r="264" spans="3:6">
      <c r="C264" s="23" t="s">
        <v>19</v>
      </c>
      <c r="D264" s="25">
        <v>24.7</v>
      </c>
      <c r="E264" s="25">
        <v>136</v>
      </c>
      <c r="F264" s="54">
        <f t="shared" si="7"/>
        <v>0.14718649137138481</v>
      </c>
    </row>
    <row r="265" spans="3:6">
      <c r="C265" s="23" t="s">
        <v>19</v>
      </c>
      <c r="D265" s="25">
        <v>9.5</v>
      </c>
      <c r="E265" s="25">
        <v>134</v>
      </c>
      <c r="F265" s="54">
        <f t="shared" si="7"/>
        <v>0.14288930790790363</v>
      </c>
    </row>
    <row r="266" spans="3:6">
      <c r="C266" s="23" t="s">
        <v>19</v>
      </c>
      <c r="D266" s="25">
        <v>21.68</v>
      </c>
      <c r="E266" s="25">
        <v>253</v>
      </c>
      <c r="F266" s="54">
        <f t="shared" si="7"/>
        <v>0.50936743761845649</v>
      </c>
    </row>
    <row r="267" spans="3:6">
      <c r="C267" s="23" t="s">
        <v>19</v>
      </c>
      <c r="D267" s="25">
        <v>1.38</v>
      </c>
      <c r="E267" s="25">
        <v>66</v>
      </c>
      <c r="F267" s="54">
        <f t="shared" si="7"/>
        <v>3.4663946605414803E-2</v>
      </c>
    </row>
    <row r="268" spans="3:6">
      <c r="C268" s="23" t="s">
        <v>19</v>
      </c>
      <c r="D268" s="25">
        <v>4.2</v>
      </c>
      <c r="E268" s="25">
        <v>130</v>
      </c>
      <c r="F268" s="54">
        <f t="shared" si="7"/>
        <v>0.13448592691265157</v>
      </c>
    </row>
    <row r="269" spans="3:6">
      <c r="C269" s="23" t="s">
        <v>19</v>
      </c>
      <c r="D269" s="25">
        <v>6.1</v>
      </c>
      <c r="E269" s="25">
        <v>74</v>
      </c>
      <c r="F269" s="54">
        <f t="shared" si="7"/>
        <v>4.3576623418560945E-2</v>
      </c>
    </row>
    <row r="270" spans="3:6">
      <c r="C270" s="23" t="s">
        <v>19</v>
      </c>
      <c r="D270" s="25">
        <v>3.65</v>
      </c>
      <c r="E270" s="25">
        <v>25</v>
      </c>
      <c r="F270" s="54">
        <f t="shared" si="7"/>
        <v>4.9735919716217296E-3</v>
      </c>
    </row>
    <row r="271" spans="3:6">
      <c r="C271" s="23" t="s">
        <v>19</v>
      </c>
      <c r="D271" s="25">
        <v>4.24</v>
      </c>
      <c r="E271" s="25">
        <v>160</v>
      </c>
      <c r="F271" s="54">
        <f t="shared" si="7"/>
        <v>0.20371832715762603</v>
      </c>
    </row>
    <row r="272" spans="3:6">
      <c r="C272" s="23" t="s">
        <v>19</v>
      </c>
      <c r="D272" s="25">
        <v>8.16</v>
      </c>
      <c r="E272" s="25">
        <v>140</v>
      </c>
      <c r="F272" s="54">
        <f t="shared" si="7"/>
        <v>0.15597184423005744</v>
      </c>
    </row>
    <row r="273" spans="3:6">
      <c r="C273" s="23" t="s">
        <v>19</v>
      </c>
      <c r="D273" s="25">
        <v>3.4</v>
      </c>
      <c r="E273" s="25">
        <v>105</v>
      </c>
      <c r="F273" s="54">
        <f t="shared" si="7"/>
        <v>8.7734162379407302E-2</v>
      </c>
    </row>
    <row r="274" spans="3:6">
      <c r="C274" s="23" t="s">
        <v>19</v>
      </c>
      <c r="D274" s="25">
        <v>7.7</v>
      </c>
      <c r="E274" s="25">
        <v>98</v>
      </c>
      <c r="F274" s="54">
        <f t="shared" si="7"/>
        <v>7.6426203672728135E-2</v>
      </c>
    </row>
    <row r="275" spans="3:6">
      <c r="C275" s="23" t="s">
        <v>19</v>
      </c>
      <c r="D275" s="25">
        <v>18</v>
      </c>
      <c r="E275" s="25">
        <v>95</v>
      </c>
      <c r="F275" s="54">
        <f t="shared" si="7"/>
        <v>7.1818668070217778E-2</v>
      </c>
    </row>
    <row r="276" spans="3:6">
      <c r="C276" s="23" t="s">
        <v>19</v>
      </c>
      <c r="D276" s="25">
        <v>8</v>
      </c>
      <c r="E276" s="25">
        <v>165</v>
      </c>
      <c r="F276" s="54">
        <f t="shared" si="7"/>
        <v>0.21664966628384252</v>
      </c>
    </row>
    <row r="277" spans="3:6">
      <c r="C277" s="23" t="s">
        <v>19</v>
      </c>
      <c r="D277" s="25">
        <v>24.5</v>
      </c>
      <c r="E277" s="25">
        <v>120</v>
      </c>
      <c r="F277" s="54">
        <f t="shared" si="7"/>
        <v>0.11459155902616465</v>
      </c>
    </row>
    <row r="278" spans="3:6">
      <c r="C278" s="23" t="s">
        <v>19</v>
      </c>
      <c r="D278" s="25">
        <v>16.7</v>
      </c>
      <c r="E278" s="25">
        <v>17</v>
      </c>
      <c r="F278" s="54">
        <f t="shared" si="7"/>
        <v>2.2997889276778877E-3</v>
      </c>
    </row>
    <row r="279" spans="3:6">
      <c r="C279" s="23" t="s">
        <v>19</v>
      </c>
      <c r="D279" s="25">
        <v>12.7</v>
      </c>
      <c r="E279" s="25">
        <v>20</v>
      </c>
      <c r="F279" s="54">
        <f t="shared" si="7"/>
        <v>3.1830988618379067E-3</v>
      </c>
    </row>
    <row r="280" spans="3:6">
      <c r="C280" s="23" t="s">
        <v>19</v>
      </c>
      <c r="D280" s="25">
        <v>6.5</v>
      </c>
      <c r="E280" s="25">
        <v>42</v>
      </c>
      <c r="F280" s="54">
        <f t="shared" si="7"/>
        <v>1.4037465980705169E-2</v>
      </c>
    </row>
    <row r="281" spans="3:6">
      <c r="C281" s="23" t="s">
        <v>19</v>
      </c>
      <c r="D281" s="27">
        <v>9.1</v>
      </c>
      <c r="E281" s="27">
        <v>82</v>
      </c>
      <c r="F281" s="54">
        <f t="shared" si="7"/>
        <v>5.3507891867495209E-2</v>
      </c>
    </row>
    <row r="282" spans="3:6">
      <c r="C282" s="23" t="s">
        <v>19</v>
      </c>
      <c r="D282" s="25">
        <v>8</v>
      </c>
      <c r="E282" s="25">
        <v>45</v>
      </c>
      <c r="F282" s="54">
        <f t="shared" si="7"/>
        <v>1.6114437988054404E-2</v>
      </c>
    </row>
    <row r="283" spans="3:6">
      <c r="C283" s="23" t="s">
        <v>19</v>
      </c>
      <c r="D283" s="25">
        <v>6.15</v>
      </c>
      <c r="E283" s="25">
        <v>110</v>
      </c>
      <c r="F283" s="54">
        <f t="shared" si="7"/>
        <v>9.6288740570596679E-2</v>
      </c>
    </row>
    <row r="284" spans="3:6">
      <c r="C284" s="23" t="s">
        <v>19</v>
      </c>
      <c r="D284" s="25">
        <v>2.2999999999999998</v>
      </c>
      <c r="E284" s="25">
        <v>112</v>
      </c>
      <c r="F284" s="54">
        <f t="shared" si="7"/>
        <v>9.9821980307236755E-2</v>
      </c>
    </row>
    <row r="285" spans="3:6">
      <c r="C285" s="23" t="s">
        <v>19</v>
      </c>
      <c r="D285" s="25">
        <v>1.2</v>
      </c>
      <c r="E285" s="25">
        <v>15</v>
      </c>
      <c r="F285" s="54">
        <f t="shared" si="7"/>
        <v>1.7904931097838226E-3</v>
      </c>
    </row>
    <row r="286" spans="3:6">
      <c r="C286" s="23" t="s">
        <v>19</v>
      </c>
      <c r="D286" s="25">
        <v>14.47</v>
      </c>
      <c r="E286" s="25">
        <v>142</v>
      </c>
      <c r="F286" s="54">
        <f t="shared" si="7"/>
        <v>0.16046001362524889</v>
      </c>
    </row>
    <row r="287" spans="3:6">
      <c r="C287" s="23" t="s">
        <v>19</v>
      </c>
      <c r="D287" s="25">
        <v>1.47</v>
      </c>
      <c r="E287" s="25">
        <v>39</v>
      </c>
      <c r="F287" s="54">
        <f t="shared" si="7"/>
        <v>1.210373342213864E-2</v>
      </c>
    </row>
    <row r="288" spans="3:6">
      <c r="C288" s="23" t="s">
        <v>19</v>
      </c>
      <c r="D288" s="25">
        <v>2.2999999999999998</v>
      </c>
      <c r="E288" s="25">
        <v>98</v>
      </c>
      <c r="F288" s="54">
        <f t="shared" si="7"/>
        <v>7.6426203672728135E-2</v>
      </c>
    </row>
    <row r="289" spans="3:6">
      <c r="C289" s="23" t="s">
        <v>19</v>
      </c>
      <c r="D289" s="25">
        <v>13.95</v>
      </c>
      <c r="E289" s="25">
        <v>100</v>
      </c>
      <c r="F289" s="54">
        <f t="shared" si="7"/>
        <v>7.9577471545947673E-2</v>
      </c>
    </row>
    <row r="290" spans="3:6">
      <c r="C290" s="23" t="s">
        <v>19</v>
      </c>
      <c r="D290" s="25">
        <v>6.77</v>
      </c>
      <c r="E290" s="25">
        <v>122</v>
      </c>
      <c r="F290" s="54">
        <f t="shared" si="7"/>
        <v>0.11844310864898851</v>
      </c>
    </row>
    <row r="291" spans="3:6">
      <c r="C291" s="23" t="s">
        <v>19</v>
      </c>
      <c r="D291" s="25">
        <v>8.66</v>
      </c>
      <c r="E291" s="25">
        <v>133</v>
      </c>
      <c r="F291" s="54">
        <f t="shared" si="7"/>
        <v>0.14076458941762685</v>
      </c>
    </row>
    <row r="292" spans="3:6">
      <c r="C292" s="23" t="s">
        <v>19</v>
      </c>
      <c r="D292" s="25">
        <v>0.2</v>
      </c>
      <c r="E292" s="25">
        <v>125</v>
      </c>
      <c r="F292" s="54">
        <f t="shared" si="7"/>
        <v>0.12433979929054323</v>
      </c>
    </row>
    <row r="293" spans="3:6">
      <c r="C293" s="23" t="s">
        <v>19</v>
      </c>
      <c r="D293" s="25">
        <v>7.6</v>
      </c>
      <c r="E293" s="25">
        <v>82</v>
      </c>
      <c r="F293" s="54">
        <f t="shared" si="7"/>
        <v>5.3507891867495209E-2</v>
      </c>
    </row>
    <row r="294" spans="3:6">
      <c r="C294" s="23" t="s">
        <v>19</v>
      </c>
      <c r="D294" s="25">
        <v>11.75</v>
      </c>
      <c r="E294" s="25">
        <v>160</v>
      </c>
      <c r="F294" s="54">
        <f t="shared" si="7"/>
        <v>0.20371832715762603</v>
      </c>
    </row>
    <row r="295" spans="3:6">
      <c r="C295" s="23" t="s">
        <v>19</v>
      </c>
      <c r="D295" s="25">
        <v>6.6</v>
      </c>
      <c r="E295" s="25">
        <v>105</v>
      </c>
      <c r="F295" s="54">
        <f t="shared" si="7"/>
        <v>8.7734162379407302E-2</v>
      </c>
    </row>
    <row r="296" spans="3:6">
      <c r="C296" s="23" t="s">
        <v>19</v>
      </c>
      <c r="D296" s="25">
        <v>2.21</v>
      </c>
      <c r="E296" s="25">
        <v>108</v>
      </c>
      <c r="F296" s="54">
        <f t="shared" si="7"/>
        <v>9.2819162811193359E-2</v>
      </c>
    </row>
    <row r="297" spans="3:6">
      <c r="C297" s="23" t="s">
        <v>19</v>
      </c>
      <c r="D297" s="25">
        <v>1.98</v>
      </c>
      <c r="E297" s="25">
        <v>90</v>
      </c>
      <c r="F297" s="54">
        <f t="shared" si="7"/>
        <v>6.4457751952217618E-2</v>
      </c>
    </row>
    <row r="298" spans="3:6">
      <c r="C298" s="23" t="s">
        <v>20</v>
      </c>
      <c r="D298" s="25">
        <v>0</v>
      </c>
      <c r="E298" s="25">
        <v>17</v>
      </c>
      <c r="F298" s="54">
        <f t="shared" si="7"/>
        <v>2.2997889276778877E-3</v>
      </c>
    </row>
    <row r="299" spans="3:6">
      <c r="C299" s="23" t="s">
        <v>20</v>
      </c>
      <c r="D299" s="25">
        <v>4.2</v>
      </c>
      <c r="E299" s="25">
        <v>21</v>
      </c>
      <c r="F299" s="54">
        <f t="shared" si="7"/>
        <v>3.5093664951762922E-3</v>
      </c>
    </row>
    <row r="300" spans="3:6">
      <c r="C300" s="23" t="s">
        <v>20</v>
      </c>
      <c r="D300" s="25">
        <v>3.9</v>
      </c>
      <c r="E300" s="25">
        <v>16</v>
      </c>
      <c r="F300" s="54">
        <f t="shared" si="7"/>
        <v>2.0371832715762603E-3</v>
      </c>
    </row>
    <row r="301" spans="3:6">
      <c r="C301" s="23" t="s">
        <v>20</v>
      </c>
      <c r="D301" s="25">
        <v>3.9</v>
      </c>
      <c r="E301" s="25">
        <v>34</v>
      </c>
      <c r="F301" s="54">
        <f t="shared" si="7"/>
        <v>9.1991557107115509E-3</v>
      </c>
    </row>
    <row r="302" spans="3:6">
      <c r="C302" s="23" t="s">
        <v>20</v>
      </c>
      <c r="D302" s="25">
        <v>9.5</v>
      </c>
      <c r="E302" s="25">
        <v>43</v>
      </c>
      <c r="F302" s="54">
        <f t="shared" si="7"/>
        <v>1.4713874488845724E-2</v>
      </c>
    </row>
    <row r="303" spans="3:6">
      <c r="C303" s="23" t="s">
        <v>20</v>
      </c>
      <c r="D303" s="25">
        <v>3.58</v>
      </c>
      <c r="E303" s="25">
        <v>65</v>
      </c>
      <c r="F303" s="54">
        <f t="shared" si="7"/>
        <v>3.3621481728162893E-2</v>
      </c>
    </row>
    <row r="304" spans="3:6">
      <c r="C304" s="23" t="s">
        <v>20</v>
      </c>
      <c r="D304" s="25">
        <v>4.4000000000000004</v>
      </c>
      <c r="E304" s="25">
        <v>92</v>
      </c>
      <c r="F304" s="54">
        <f t="shared" si="7"/>
        <v>6.7354371916490102E-2</v>
      </c>
    </row>
    <row r="305" spans="3:6">
      <c r="C305" s="23" t="s">
        <v>20</v>
      </c>
      <c r="D305" s="25">
        <v>8.25</v>
      </c>
      <c r="E305" s="25">
        <v>16</v>
      </c>
      <c r="F305" s="54">
        <f t="shared" si="7"/>
        <v>2.0371832715762603E-3</v>
      </c>
    </row>
    <row r="306" spans="3:6">
      <c r="C306" s="33" t="s">
        <v>20</v>
      </c>
      <c r="D306" s="34">
        <v>6.6</v>
      </c>
      <c r="E306" s="34">
        <v>87</v>
      </c>
      <c r="F306" s="54">
        <f t="shared" si="7"/>
        <v>6.0232188213127792E-2</v>
      </c>
    </row>
    <row r="307" spans="3:6">
      <c r="C307" s="33" t="s">
        <v>20</v>
      </c>
      <c r="D307" s="34">
        <v>7.75</v>
      </c>
      <c r="E307" s="34">
        <v>75</v>
      </c>
      <c r="F307" s="54">
        <f t="shared" si="7"/>
        <v>4.4762327744595563E-2</v>
      </c>
    </row>
    <row r="308" spans="3:6">
      <c r="C308" s="23" t="s">
        <v>28</v>
      </c>
      <c r="D308" s="27">
        <v>24.6</v>
      </c>
      <c r="E308" s="27">
        <v>125</v>
      </c>
      <c r="F308" s="54">
        <f t="shared" si="7"/>
        <v>0.12433979929054323</v>
      </c>
    </row>
    <row r="309" spans="3:6">
      <c r="C309" s="23" t="s">
        <v>26</v>
      </c>
      <c r="D309" s="25">
        <v>15.2</v>
      </c>
      <c r="E309" s="25">
        <v>20</v>
      </c>
      <c r="F309" s="54">
        <f t="shared" si="7"/>
        <v>3.1830988618379067E-3</v>
      </c>
    </row>
    <row r="310" spans="3:6">
      <c r="C310" s="23" t="s">
        <v>26</v>
      </c>
      <c r="D310" s="25">
        <v>15.2</v>
      </c>
      <c r="E310" s="25">
        <v>20</v>
      </c>
      <c r="F310" s="54">
        <f t="shared" si="7"/>
        <v>3.1830988618379067E-3</v>
      </c>
    </row>
    <row r="311" spans="3:6">
      <c r="C311" s="23" t="s">
        <v>26</v>
      </c>
      <c r="D311" s="25">
        <v>15.3</v>
      </c>
      <c r="E311" s="25">
        <v>25</v>
      </c>
      <c r="F311" s="54">
        <f t="shared" si="7"/>
        <v>4.9735919716217296E-3</v>
      </c>
    </row>
    <row r="312" spans="3:6">
      <c r="C312" s="33" t="s">
        <v>26</v>
      </c>
      <c r="D312" s="34">
        <v>3.8</v>
      </c>
      <c r="E312" s="34">
        <v>15</v>
      </c>
      <c r="F312" s="54">
        <f t="shared" si="7"/>
        <v>1.7904931097838226E-3</v>
      </c>
    </row>
    <row r="313" spans="3:6">
      <c r="C313" s="33" t="s">
        <v>26</v>
      </c>
      <c r="D313" s="34">
        <v>4.5</v>
      </c>
      <c r="E313" s="34">
        <v>70</v>
      </c>
      <c r="F313" s="54">
        <f t="shared" si="7"/>
        <v>3.8992961057514361E-2</v>
      </c>
    </row>
    <row r="314" spans="3:6">
      <c r="C314" s="23" t="s">
        <v>17</v>
      </c>
      <c r="D314" s="25">
        <v>13.3</v>
      </c>
      <c r="E314" s="25">
        <v>80</v>
      </c>
      <c r="F314" s="54">
        <f t="shared" si="7"/>
        <v>5.0929581789406507E-2</v>
      </c>
    </row>
    <row r="315" spans="3:6">
      <c r="C315" s="23" t="s">
        <v>17</v>
      </c>
      <c r="D315" s="25">
        <v>2.66</v>
      </c>
      <c r="E315" s="25">
        <v>48</v>
      </c>
      <c r="F315" s="54">
        <f t="shared" si="7"/>
        <v>1.8334649444186342E-2</v>
      </c>
    </row>
    <row r="316" spans="3:6">
      <c r="C316" s="23" t="s">
        <v>17</v>
      </c>
      <c r="D316" s="25">
        <v>7.5</v>
      </c>
      <c r="E316" s="25">
        <v>20</v>
      </c>
      <c r="F316" s="54">
        <f t="shared" si="7"/>
        <v>3.1830988618379067E-3</v>
      </c>
    </row>
    <row r="317" spans="3:6">
      <c r="C317" s="23" t="s">
        <v>17</v>
      </c>
      <c r="D317" s="25">
        <v>5.94</v>
      </c>
      <c r="E317" s="25">
        <v>23</v>
      </c>
      <c r="F317" s="54">
        <f t="shared" si="7"/>
        <v>4.2096482447806314E-3</v>
      </c>
    </row>
    <row r="318" spans="3:6">
      <c r="C318" s="23" t="s">
        <v>17</v>
      </c>
      <c r="D318" s="25">
        <v>5.6</v>
      </c>
      <c r="E318" s="25">
        <v>80</v>
      </c>
      <c r="F318" s="54">
        <f t="shared" si="7"/>
        <v>5.0929581789406507E-2</v>
      </c>
    </row>
    <row r="319" spans="3:6">
      <c r="C319" s="23" t="s">
        <v>17</v>
      </c>
      <c r="D319" s="25">
        <v>15.8</v>
      </c>
      <c r="E319" s="25">
        <v>101</v>
      </c>
      <c r="F319" s="54">
        <f t="shared" si="7"/>
        <v>8.1176978724021215E-2</v>
      </c>
    </row>
    <row r="320" spans="3:6">
      <c r="C320" s="23" t="s">
        <v>17</v>
      </c>
      <c r="D320" s="25">
        <v>2.66</v>
      </c>
      <c r="E320" s="25">
        <v>48</v>
      </c>
      <c r="F320" s="54">
        <f t="shared" si="7"/>
        <v>1.8334649444186342E-2</v>
      </c>
    </row>
    <row r="321" spans="3:6">
      <c r="C321" s="23" t="s">
        <v>17</v>
      </c>
      <c r="D321" s="25">
        <v>7.5</v>
      </c>
      <c r="E321" s="25">
        <v>20</v>
      </c>
      <c r="F321" s="54">
        <f t="shared" si="7"/>
        <v>3.1830988618379067E-3</v>
      </c>
    </row>
    <row r="322" spans="3:6">
      <c r="C322" s="23" t="s">
        <v>17</v>
      </c>
      <c r="D322" s="25">
        <v>5.94</v>
      </c>
      <c r="E322" s="25">
        <v>23</v>
      </c>
      <c r="F322" s="54">
        <f t="shared" si="7"/>
        <v>4.2096482447806314E-3</v>
      </c>
    </row>
    <row r="323" spans="3:6">
      <c r="C323" s="23" t="s">
        <v>17</v>
      </c>
      <c r="D323" s="25">
        <v>5.6</v>
      </c>
      <c r="E323" s="25">
        <v>80</v>
      </c>
      <c r="F323" s="54">
        <f t="shared" ref="F323:F386" si="8">E323*E323/(4*PI()*10000)</f>
        <v>5.0929581789406507E-2</v>
      </c>
    </row>
    <row r="324" spans="3:6">
      <c r="C324" s="23" t="s">
        <v>17</v>
      </c>
      <c r="D324" s="25">
        <v>13.3</v>
      </c>
      <c r="E324" s="25">
        <v>80</v>
      </c>
      <c r="F324" s="54">
        <f t="shared" si="8"/>
        <v>5.0929581789406507E-2</v>
      </c>
    </row>
    <row r="325" spans="3:6">
      <c r="C325" s="28" t="s">
        <v>22</v>
      </c>
      <c r="D325" s="29">
        <v>6.9</v>
      </c>
      <c r="E325" s="29">
        <v>70</v>
      </c>
      <c r="F325" s="54">
        <f t="shared" si="8"/>
        <v>3.8992961057514361E-2</v>
      </c>
    </row>
    <row r="326" spans="3:6">
      <c r="C326" s="23" t="s">
        <v>22</v>
      </c>
      <c r="D326" s="25">
        <v>1.8</v>
      </c>
      <c r="E326" s="25">
        <v>71</v>
      </c>
      <c r="F326" s="54">
        <f t="shared" si="8"/>
        <v>4.0115003406312223E-2</v>
      </c>
    </row>
    <row r="327" spans="3:6">
      <c r="C327" s="23" t="s">
        <v>22</v>
      </c>
      <c r="D327" s="25">
        <v>3.3</v>
      </c>
      <c r="E327" s="25">
        <v>18</v>
      </c>
      <c r="F327" s="54">
        <f t="shared" si="8"/>
        <v>2.5783100780887047E-3</v>
      </c>
    </row>
    <row r="328" spans="3:6">
      <c r="C328" s="23" t="s">
        <v>22</v>
      </c>
      <c r="D328" s="25">
        <v>16.100000000000001</v>
      </c>
      <c r="E328" s="25">
        <v>27</v>
      </c>
      <c r="F328" s="54">
        <f t="shared" si="8"/>
        <v>5.801197675699585E-3</v>
      </c>
    </row>
    <row r="329" spans="3:6">
      <c r="C329" s="23" t="s">
        <v>22</v>
      </c>
      <c r="D329" s="25">
        <v>1.55</v>
      </c>
      <c r="E329" s="25">
        <v>99</v>
      </c>
      <c r="F329" s="54">
        <f t="shared" si="8"/>
        <v>7.7993879862183313E-2</v>
      </c>
    </row>
    <row r="330" spans="3:6">
      <c r="C330" s="23" t="s">
        <v>22</v>
      </c>
      <c r="D330" s="25">
        <v>4.95</v>
      </c>
      <c r="E330" s="25">
        <v>160</v>
      </c>
      <c r="F330" s="54">
        <f t="shared" si="8"/>
        <v>0.20371832715762603</v>
      </c>
    </row>
    <row r="331" spans="3:6">
      <c r="C331" s="23" t="s">
        <v>22</v>
      </c>
      <c r="D331" s="25">
        <v>6.6</v>
      </c>
      <c r="E331" s="25">
        <v>96</v>
      </c>
      <c r="F331" s="54">
        <f t="shared" si="8"/>
        <v>7.3338597776745368E-2</v>
      </c>
    </row>
    <row r="332" spans="3:6">
      <c r="C332" s="23" t="s">
        <v>22</v>
      </c>
      <c r="D332" s="25">
        <v>4.9000000000000004</v>
      </c>
      <c r="E332" s="25">
        <v>206</v>
      </c>
      <c r="F332" s="54">
        <f t="shared" si="8"/>
        <v>0.33769495825238355</v>
      </c>
    </row>
    <row r="333" spans="3:6">
      <c r="C333" s="23" t="s">
        <v>22</v>
      </c>
      <c r="D333" s="25">
        <v>4.5999999999999996</v>
      </c>
      <c r="E333" s="25">
        <v>54</v>
      </c>
      <c r="F333" s="54">
        <f t="shared" si="8"/>
        <v>2.320479070279834E-2</v>
      </c>
    </row>
    <row r="334" spans="3:6">
      <c r="C334" s="23" t="s">
        <v>22</v>
      </c>
      <c r="D334" s="25">
        <v>5.9</v>
      </c>
      <c r="E334" s="25">
        <v>58</v>
      </c>
      <c r="F334" s="54">
        <f t="shared" si="8"/>
        <v>2.6769861428056797E-2</v>
      </c>
    </row>
    <row r="335" spans="3:6">
      <c r="C335" s="23" t="s">
        <v>22</v>
      </c>
      <c r="D335" s="25">
        <v>3.48</v>
      </c>
      <c r="E335" s="25">
        <v>39</v>
      </c>
      <c r="F335" s="54">
        <f t="shared" si="8"/>
        <v>1.210373342213864E-2</v>
      </c>
    </row>
    <row r="336" spans="3:6">
      <c r="C336" s="23" t="s">
        <v>22</v>
      </c>
      <c r="D336" s="25">
        <v>3.9</v>
      </c>
      <c r="E336" s="25">
        <v>83</v>
      </c>
      <c r="F336" s="54">
        <f t="shared" si="8"/>
        <v>5.4820920148003348E-2</v>
      </c>
    </row>
    <row r="337" spans="3:6">
      <c r="C337" s="28" t="s">
        <v>22</v>
      </c>
      <c r="D337" s="27">
        <v>14.75</v>
      </c>
      <c r="E337" s="27">
        <v>170</v>
      </c>
      <c r="F337" s="54">
        <f t="shared" si="8"/>
        <v>0.22997889276778877</v>
      </c>
    </row>
    <row r="338" spans="3:6">
      <c r="C338" s="23" t="s">
        <v>22</v>
      </c>
      <c r="D338" s="25">
        <v>3.6</v>
      </c>
      <c r="E338" s="25">
        <v>130</v>
      </c>
      <c r="F338" s="54">
        <f t="shared" si="8"/>
        <v>0.13448592691265157</v>
      </c>
    </row>
    <row r="339" spans="3:6">
      <c r="C339" s="23" t="s">
        <v>22</v>
      </c>
      <c r="D339" s="25">
        <v>9.9</v>
      </c>
      <c r="E339" s="25">
        <v>150</v>
      </c>
      <c r="F339" s="54">
        <f t="shared" si="8"/>
        <v>0.17904931097838225</v>
      </c>
    </row>
    <row r="340" spans="3:6">
      <c r="C340" s="23" t="s">
        <v>22</v>
      </c>
      <c r="D340" s="25">
        <v>38</v>
      </c>
      <c r="E340" s="25">
        <v>182</v>
      </c>
      <c r="F340" s="54">
        <f t="shared" si="8"/>
        <v>0.26359241674879708</v>
      </c>
    </row>
    <row r="341" spans="3:6">
      <c r="C341" s="28" t="s">
        <v>22</v>
      </c>
      <c r="D341" s="27">
        <v>14.7</v>
      </c>
      <c r="E341" s="27">
        <v>30</v>
      </c>
      <c r="F341" s="54">
        <f t="shared" si="8"/>
        <v>7.1619724391352906E-3</v>
      </c>
    </row>
    <row r="342" spans="3:6">
      <c r="C342" s="23" t="s">
        <v>22</v>
      </c>
      <c r="D342" s="25">
        <v>1.3</v>
      </c>
      <c r="E342" s="25">
        <v>83</v>
      </c>
      <c r="F342" s="54">
        <f t="shared" si="8"/>
        <v>5.4820920148003348E-2</v>
      </c>
    </row>
    <row r="343" spans="3:6">
      <c r="C343" s="23" t="s">
        <v>22</v>
      </c>
      <c r="D343" s="25">
        <v>50</v>
      </c>
      <c r="E343" s="25">
        <v>195</v>
      </c>
      <c r="F343" s="54">
        <f t="shared" si="8"/>
        <v>0.30259333555346601</v>
      </c>
    </row>
    <row r="344" spans="3:6">
      <c r="C344" s="23" t="s">
        <v>22</v>
      </c>
      <c r="D344" s="25">
        <v>30.5</v>
      </c>
      <c r="E344" s="25">
        <v>100</v>
      </c>
      <c r="F344" s="54">
        <f t="shared" si="8"/>
        <v>7.9577471545947673E-2</v>
      </c>
    </row>
    <row r="345" spans="3:6">
      <c r="C345" s="23" t="s">
        <v>22</v>
      </c>
      <c r="D345" s="25">
        <v>19.5</v>
      </c>
      <c r="E345" s="25">
        <v>160</v>
      </c>
      <c r="F345" s="54">
        <f t="shared" si="8"/>
        <v>0.20371832715762603</v>
      </c>
    </row>
    <row r="346" spans="3:6">
      <c r="C346" s="23" t="s">
        <v>22</v>
      </c>
      <c r="D346" s="25">
        <v>4.5999999999999996</v>
      </c>
      <c r="E346" s="25">
        <v>66</v>
      </c>
      <c r="F346" s="54">
        <f t="shared" si="8"/>
        <v>3.4663946605414803E-2</v>
      </c>
    </row>
    <row r="347" spans="3:6">
      <c r="C347" s="23" t="s">
        <v>22</v>
      </c>
      <c r="D347" s="25">
        <v>5.15</v>
      </c>
      <c r="E347" s="25">
        <v>83</v>
      </c>
      <c r="F347" s="54">
        <f t="shared" si="8"/>
        <v>5.4820920148003348E-2</v>
      </c>
    </row>
    <row r="348" spans="3:6">
      <c r="C348" s="23" t="s">
        <v>22</v>
      </c>
      <c r="D348" s="25">
        <v>4.6500000000000004</v>
      </c>
      <c r="E348" s="25">
        <v>48</v>
      </c>
      <c r="F348" s="54">
        <f t="shared" si="8"/>
        <v>1.8334649444186342E-2</v>
      </c>
    </row>
    <row r="349" spans="3:6">
      <c r="C349" s="23" t="s">
        <v>22</v>
      </c>
      <c r="D349" s="25">
        <v>5.52</v>
      </c>
      <c r="E349" s="25">
        <v>31</v>
      </c>
      <c r="F349" s="54">
        <f t="shared" si="8"/>
        <v>7.6473950155655709E-3</v>
      </c>
    </row>
    <row r="350" spans="3:6">
      <c r="C350" s="23" t="s">
        <v>22</v>
      </c>
      <c r="D350" s="25">
        <v>5.7</v>
      </c>
      <c r="E350" s="25">
        <v>20</v>
      </c>
      <c r="F350" s="54">
        <f t="shared" si="8"/>
        <v>3.1830988618379067E-3</v>
      </c>
    </row>
    <row r="351" spans="3:6">
      <c r="C351" s="23" t="s">
        <v>22</v>
      </c>
      <c r="D351" s="25">
        <v>5.29</v>
      </c>
      <c r="E351" s="25">
        <v>67</v>
      </c>
      <c r="F351" s="54">
        <f t="shared" si="8"/>
        <v>3.5722326976975909E-2</v>
      </c>
    </row>
    <row r="352" spans="3:6">
      <c r="C352" s="28" t="s">
        <v>22</v>
      </c>
      <c r="D352" s="27">
        <v>6.47</v>
      </c>
      <c r="E352" s="27">
        <v>47</v>
      </c>
      <c r="F352" s="54">
        <f t="shared" si="8"/>
        <v>1.7578663464499839E-2</v>
      </c>
    </row>
    <row r="353" spans="3:6">
      <c r="C353" s="23" t="s">
        <v>22</v>
      </c>
      <c r="D353" s="25">
        <v>3.254</v>
      </c>
      <c r="E353" s="25">
        <v>143</v>
      </c>
      <c r="F353" s="54">
        <f t="shared" si="8"/>
        <v>0.16272797156430838</v>
      </c>
    </row>
    <row r="354" spans="3:6">
      <c r="C354" s="23" t="s">
        <v>22</v>
      </c>
      <c r="D354" s="25">
        <v>12.15</v>
      </c>
      <c r="E354" s="25">
        <v>122</v>
      </c>
      <c r="F354" s="54">
        <f t="shared" si="8"/>
        <v>0.11844310864898851</v>
      </c>
    </row>
    <row r="355" spans="3:6">
      <c r="C355" s="28" t="s">
        <v>22</v>
      </c>
      <c r="D355" s="29">
        <v>22.44</v>
      </c>
      <c r="E355" s="29">
        <v>80</v>
      </c>
      <c r="F355" s="54">
        <f t="shared" si="8"/>
        <v>5.0929581789406507E-2</v>
      </c>
    </row>
    <row r="356" spans="3:6">
      <c r="C356" s="23" t="s">
        <v>22</v>
      </c>
      <c r="D356" s="25">
        <v>4.5999999999999996</v>
      </c>
      <c r="E356" s="25">
        <v>227</v>
      </c>
      <c r="F356" s="54">
        <f t="shared" si="8"/>
        <v>0.41005475312911377</v>
      </c>
    </row>
    <row r="357" spans="3:6">
      <c r="C357" s="23" t="s">
        <v>22</v>
      </c>
      <c r="D357" s="25">
        <v>5.38</v>
      </c>
      <c r="E357" s="25">
        <v>135</v>
      </c>
      <c r="F357" s="54">
        <f t="shared" si="8"/>
        <v>0.14502994189248963</v>
      </c>
    </row>
    <row r="358" spans="3:6">
      <c r="C358" s="28" t="s">
        <v>22</v>
      </c>
      <c r="D358" s="27">
        <v>15.15</v>
      </c>
      <c r="E358" s="27">
        <v>14</v>
      </c>
      <c r="F358" s="54">
        <f t="shared" si="8"/>
        <v>1.5597184423005743E-3</v>
      </c>
    </row>
    <row r="359" spans="3:6">
      <c r="C359" s="28" t="s">
        <v>22</v>
      </c>
      <c r="D359" s="27">
        <v>7.15</v>
      </c>
      <c r="E359" s="27">
        <v>26</v>
      </c>
      <c r="F359" s="54">
        <f t="shared" si="8"/>
        <v>5.3794370765060627E-3</v>
      </c>
    </row>
    <row r="360" spans="3:6">
      <c r="C360" s="33" t="s">
        <v>22</v>
      </c>
      <c r="D360" s="34">
        <v>9.3000000000000007</v>
      </c>
      <c r="E360" s="34">
        <v>18</v>
      </c>
      <c r="F360" s="54">
        <f t="shared" si="8"/>
        <v>2.5783100780887047E-3</v>
      </c>
    </row>
    <row r="361" spans="3:6">
      <c r="C361" s="33" t="s">
        <v>22</v>
      </c>
      <c r="D361" s="34">
        <v>4.5999999999999996</v>
      </c>
      <c r="E361" s="34">
        <v>81</v>
      </c>
      <c r="F361" s="54">
        <f t="shared" si="8"/>
        <v>5.2210779081296267E-2</v>
      </c>
    </row>
    <row r="362" spans="3:6">
      <c r="C362" s="33" t="s">
        <v>22</v>
      </c>
      <c r="D362" s="34">
        <v>6.2</v>
      </c>
      <c r="E362" s="34">
        <v>81</v>
      </c>
      <c r="F362" s="54">
        <f t="shared" si="8"/>
        <v>5.2210779081296267E-2</v>
      </c>
    </row>
    <row r="363" spans="3:6">
      <c r="C363" s="33" t="s">
        <v>22</v>
      </c>
      <c r="D363" s="34">
        <v>5.25</v>
      </c>
      <c r="E363" s="34">
        <v>37</v>
      </c>
      <c r="F363" s="54">
        <f t="shared" si="8"/>
        <v>1.0894155854640236E-2</v>
      </c>
    </row>
    <row r="364" spans="3:6">
      <c r="C364" s="28" t="s">
        <v>22</v>
      </c>
      <c r="D364" s="27">
        <v>13.1</v>
      </c>
      <c r="E364" s="27">
        <v>53</v>
      </c>
      <c r="F364" s="54">
        <f t="shared" si="8"/>
        <v>2.2353311757256699E-2</v>
      </c>
    </row>
    <row r="365" spans="3:6">
      <c r="C365" s="33" t="s">
        <v>22</v>
      </c>
      <c r="D365" s="34">
        <v>11.2</v>
      </c>
      <c r="E365" s="34">
        <v>45</v>
      </c>
      <c r="F365" s="54">
        <f t="shared" si="8"/>
        <v>1.6114437988054404E-2</v>
      </c>
    </row>
    <row r="366" spans="3:6">
      <c r="C366" s="33" t="s">
        <v>22</v>
      </c>
      <c r="D366" s="34">
        <v>4.1500000000000004</v>
      </c>
      <c r="E366" s="34">
        <v>34</v>
      </c>
      <c r="F366" s="54">
        <f t="shared" si="8"/>
        <v>9.1991557107115509E-3</v>
      </c>
    </row>
    <row r="367" spans="3:6">
      <c r="C367" s="23" t="s">
        <v>22</v>
      </c>
      <c r="D367" s="25">
        <v>10.67</v>
      </c>
      <c r="E367" s="25">
        <v>78</v>
      </c>
      <c r="F367" s="54">
        <f t="shared" si="8"/>
        <v>4.8414933688554561E-2</v>
      </c>
    </row>
    <row r="368" spans="3:6">
      <c r="C368" s="23" t="s">
        <v>22</v>
      </c>
      <c r="D368" s="25">
        <v>9.26</v>
      </c>
      <c r="E368" s="25">
        <v>98</v>
      </c>
      <c r="F368" s="54">
        <f t="shared" si="8"/>
        <v>7.6426203672728135E-2</v>
      </c>
    </row>
    <row r="369" spans="3:6">
      <c r="C369" s="23" t="s">
        <v>23</v>
      </c>
      <c r="D369" s="25">
        <v>5.6</v>
      </c>
      <c r="E369" s="25">
        <v>35</v>
      </c>
      <c r="F369" s="54">
        <f t="shared" si="8"/>
        <v>9.7482402643785902E-3</v>
      </c>
    </row>
    <row r="370" spans="3:6">
      <c r="C370" s="23" t="s">
        <v>23</v>
      </c>
      <c r="D370" s="30">
        <v>1</v>
      </c>
      <c r="E370" s="25">
        <v>51</v>
      </c>
      <c r="F370" s="54">
        <f t="shared" si="8"/>
        <v>2.0698100349100988E-2</v>
      </c>
    </row>
    <row r="371" spans="3:6">
      <c r="C371" s="23" t="s">
        <v>23</v>
      </c>
      <c r="D371" s="25">
        <v>1.52</v>
      </c>
      <c r="E371" s="25">
        <v>29</v>
      </c>
      <c r="F371" s="54">
        <f t="shared" si="8"/>
        <v>6.6924653570141993E-3</v>
      </c>
    </row>
    <row r="372" spans="3:6">
      <c r="C372" s="23" t="s">
        <v>23</v>
      </c>
      <c r="D372" s="25">
        <v>6.1</v>
      </c>
      <c r="E372" s="25">
        <v>24</v>
      </c>
      <c r="F372" s="54">
        <f t="shared" si="8"/>
        <v>4.5836623610465855E-3</v>
      </c>
    </row>
    <row r="373" spans="3:6">
      <c r="C373" s="23" t="s">
        <v>23</v>
      </c>
      <c r="D373" s="25">
        <v>5.85</v>
      </c>
      <c r="E373" s="25">
        <v>81</v>
      </c>
      <c r="F373" s="54">
        <f t="shared" si="8"/>
        <v>5.2210779081296267E-2</v>
      </c>
    </row>
    <row r="374" spans="3:6">
      <c r="C374" s="23" t="s">
        <v>23</v>
      </c>
      <c r="D374" s="25">
        <v>5.87</v>
      </c>
      <c r="E374" s="25">
        <v>88</v>
      </c>
      <c r="F374" s="54">
        <f t="shared" si="8"/>
        <v>6.1624793965181876E-2</v>
      </c>
    </row>
    <row r="375" spans="3:6">
      <c r="C375" s="23" t="s">
        <v>23</v>
      </c>
      <c r="D375" s="25">
        <v>8.6999999999999993</v>
      </c>
      <c r="E375" s="25">
        <v>16</v>
      </c>
      <c r="F375" s="54">
        <f t="shared" si="8"/>
        <v>2.0371832715762603E-3</v>
      </c>
    </row>
    <row r="376" spans="3:6">
      <c r="C376" s="28" t="s">
        <v>23</v>
      </c>
      <c r="D376" s="29">
        <v>14.5</v>
      </c>
      <c r="E376" s="29">
        <v>15</v>
      </c>
      <c r="F376" s="54">
        <f t="shared" si="8"/>
        <v>1.7904931097838226E-3</v>
      </c>
    </row>
    <row r="377" spans="3:6">
      <c r="C377" s="23" t="s">
        <v>23</v>
      </c>
      <c r="D377" s="25">
        <v>8.85</v>
      </c>
      <c r="E377" s="25">
        <v>31</v>
      </c>
      <c r="F377" s="54">
        <f t="shared" si="8"/>
        <v>7.6473950155655709E-3</v>
      </c>
    </row>
    <row r="378" spans="3:6">
      <c r="C378" s="28" t="s">
        <v>23</v>
      </c>
      <c r="D378" s="27">
        <v>13.6</v>
      </c>
      <c r="E378" s="27">
        <v>31</v>
      </c>
      <c r="F378" s="54">
        <f t="shared" si="8"/>
        <v>7.6473950155655709E-3</v>
      </c>
    </row>
    <row r="379" spans="3:6">
      <c r="C379" s="28" t="s">
        <v>23</v>
      </c>
      <c r="D379" s="27">
        <v>12.3</v>
      </c>
      <c r="E379" s="27">
        <v>36</v>
      </c>
      <c r="F379" s="54">
        <f t="shared" si="8"/>
        <v>1.0313240312354819E-2</v>
      </c>
    </row>
    <row r="380" spans="3:6">
      <c r="C380" s="23" t="s">
        <v>23</v>
      </c>
      <c r="D380" s="25">
        <v>6.45</v>
      </c>
      <c r="E380" s="25">
        <v>15</v>
      </c>
      <c r="F380" s="54">
        <f t="shared" si="8"/>
        <v>1.7904931097838226E-3</v>
      </c>
    </row>
    <row r="381" spans="3:6">
      <c r="C381" s="23" t="s">
        <v>23</v>
      </c>
      <c r="D381" s="25">
        <v>2.1</v>
      </c>
      <c r="E381" s="25">
        <v>33</v>
      </c>
      <c r="F381" s="54">
        <f t="shared" si="8"/>
        <v>8.6659866513537007E-3</v>
      </c>
    </row>
    <row r="382" spans="3:6">
      <c r="C382" s="23" t="s">
        <v>23</v>
      </c>
      <c r="D382" s="25">
        <v>7.25</v>
      </c>
      <c r="E382" s="25">
        <v>25</v>
      </c>
      <c r="F382" s="54">
        <f t="shared" si="8"/>
        <v>4.9735919716217296E-3</v>
      </c>
    </row>
    <row r="383" spans="3:6">
      <c r="C383" s="23" t="s">
        <v>23</v>
      </c>
      <c r="D383" s="25">
        <v>5.92</v>
      </c>
      <c r="E383" s="25">
        <v>117</v>
      </c>
      <c r="F383" s="54">
        <f t="shared" si="8"/>
        <v>0.10893360079924777</v>
      </c>
    </row>
    <row r="384" spans="3:6">
      <c r="C384" s="23" t="s">
        <v>23</v>
      </c>
      <c r="D384" s="25">
        <v>2.75</v>
      </c>
      <c r="E384" s="25">
        <v>26</v>
      </c>
      <c r="F384" s="54">
        <f t="shared" si="8"/>
        <v>5.3794370765060627E-3</v>
      </c>
    </row>
    <row r="385" spans="3:6">
      <c r="C385" s="33" t="s">
        <v>23</v>
      </c>
      <c r="D385" s="34">
        <v>2.2000000000000002</v>
      </c>
      <c r="E385" s="34">
        <v>33</v>
      </c>
      <c r="F385" s="54">
        <f t="shared" si="8"/>
        <v>8.6659866513537007E-3</v>
      </c>
    </row>
    <row r="386" spans="3:6">
      <c r="C386" s="28" t="s">
        <v>23</v>
      </c>
      <c r="D386" s="27">
        <v>11.33</v>
      </c>
      <c r="E386" s="27">
        <v>20</v>
      </c>
      <c r="F386" s="54">
        <f t="shared" si="8"/>
        <v>3.1830988618379067E-3</v>
      </c>
    </row>
    <row r="387" spans="3:6">
      <c r="C387" s="23" t="s">
        <v>23</v>
      </c>
      <c r="D387" s="25">
        <v>12.59</v>
      </c>
      <c r="E387" s="25">
        <v>32</v>
      </c>
      <c r="F387" s="54">
        <f t="shared" ref="F387:F450" si="9">E387*E387/(4*PI()*10000)</f>
        <v>8.1487330863050413E-3</v>
      </c>
    </row>
    <row r="388" spans="3:6">
      <c r="C388" s="23" t="s">
        <v>18</v>
      </c>
      <c r="D388" s="25">
        <v>6.4</v>
      </c>
      <c r="E388" s="25">
        <v>21</v>
      </c>
      <c r="F388" s="54">
        <f t="shared" si="9"/>
        <v>3.5093664951762922E-3</v>
      </c>
    </row>
    <row r="389" spans="3:6">
      <c r="C389" s="23" t="s">
        <v>18</v>
      </c>
      <c r="D389" s="25">
        <v>0</v>
      </c>
      <c r="E389" s="25">
        <v>38</v>
      </c>
      <c r="F389" s="54">
        <f t="shared" si="9"/>
        <v>1.1490986891234843E-2</v>
      </c>
    </row>
    <row r="390" spans="3:6">
      <c r="C390" s="23" t="s">
        <v>18</v>
      </c>
      <c r="D390" s="25">
        <v>2.15</v>
      </c>
      <c r="E390" s="25">
        <v>30</v>
      </c>
      <c r="F390" s="54">
        <f t="shared" si="9"/>
        <v>7.1619724391352906E-3</v>
      </c>
    </row>
    <row r="391" spans="3:6">
      <c r="C391" s="23" t="s">
        <v>18</v>
      </c>
      <c r="D391" s="25">
        <v>13.2</v>
      </c>
      <c r="E391" s="25">
        <v>74</v>
      </c>
      <c r="F391" s="54">
        <f t="shared" si="9"/>
        <v>4.3576623418560945E-2</v>
      </c>
    </row>
    <row r="392" spans="3:6">
      <c r="C392" s="23" t="s">
        <v>18</v>
      </c>
      <c r="D392" s="25">
        <v>2.15</v>
      </c>
      <c r="E392" s="25">
        <v>54</v>
      </c>
      <c r="F392" s="54">
        <f t="shared" si="9"/>
        <v>2.320479070279834E-2</v>
      </c>
    </row>
    <row r="393" spans="3:6">
      <c r="C393" s="23" t="s">
        <v>18</v>
      </c>
      <c r="D393" s="25">
        <v>18.64</v>
      </c>
      <c r="E393" s="25">
        <v>43</v>
      </c>
      <c r="F393" s="54">
        <f t="shared" si="9"/>
        <v>1.4713874488845724E-2</v>
      </c>
    </row>
    <row r="394" spans="3:6">
      <c r="C394" s="23" t="s">
        <v>18</v>
      </c>
      <c r="D394" s="25">
        <v>2</v>
      </c>
      <c r="E394" s="25">
        <v>64</v>
      </c>
      <c r="F394" s="54">
        <f t="shared" si="9"/>
        <v>3.2594932345220165E-2</v>
      </c>
    </row>
    <row r="395" spans="3:6">
      <c r="C395" s="28" t="s">
        <v>18</v>
      </c>
      <c r="D395" s="27">
        <v>14.83</v>
      </c>
      <c r="E395" s="27">
        <v>83</v>
      </c>
      <c r="F395" s="54">
        <f t="shared" si="9"/>
        <v>5.4820920148003348E-2</v>
      </c>
    </row>
    <row r="396" spans="3:6">
      <c r="C396" s="28" t="s">
        <v>18</v>
      </c>
      <c r="D396" s="27">
        <v>14.46</v>
      </c>
      <c r="E396" s="27">
        <v>61</v>
      </c>
      <c r="F396" s="54">
        <f t="shared" si="9"/>
        <v>2.9610777162247127E-2</v>
      </c>
    </row>
    <row r="397" spans="3:6">
      <c r="C397" s="23" t="s">
        <v>18</v>
      </c>
      <c r="D397" s="25">
        <v>8.6999999999999993</v>
      </c>
      <c r="E397" s="25">
        <v>187</v>
      </c>
      <c r="F397" s="54">
        <f t="shared" si="9"/>
        <v>0.27827446024902441</v>
      </c>
    </row>
    <row r="398" spans="3:6">
      <c r="C398" s="23" t="s">
        <v>18</v>
      </c>
      <c r="D398" s="25">
        <v>7.27</v>
      </c>
      <c r="E398" s="25">
        <v>100</v>
      </c>
      <c r="F398" s="54">
        <f t="shared" si="9"/>
        <v>7.9577471545947673E-2</v>
      </c>
    </row>
    <row r="399" spans="3:6">
      <c r="C399" s="23" t="s">
        <v>18</v>
      </c>
      <c r="D399" s="25">
        <v>5.6</v>
      </c>
      <c r="E399" s="25">
        <v>60</v>
      </c>
      <c r="F399" s="54">
        <f t="shared" si="9"/>
        <v>2.8647889756541162E-2</v>
      </c>
    </row>
    <row r="400" spans="3:6">
      <c r="C400" s="23" t="s">
        <v>18</v>
      </c>
      <c r="D400" s="25">
        <v>1.72</v>
      </c>
      <c r="E400" s="25">
        <v>41</v>
      </c>
      <c r="F400" s="54">
        <f t="shared" si="9"/>
        <v>1.3376972966873802E-2</v>
      </c>
    </row>
    <row r="401" spans="3:6">
      <c r="C401" s="23" t="s">
        <v>18</v>
      </c>
      <c r="D401" s="25">
        <v>4.34</v>
      </c>
      <c r="E401" s="25">
        <v>36</v>
      </c>
      <c r="F401" s="54">
        <f t="shared" si="9"/>
        <v>1.0313240312354819E-2</v>
      </c>
    </row>
    <row r="402" spans="3:6">
      <c r="C402" s="23" t="s">
        <v>18</v>
      </c>
      <c r="D402" s="25">
        <v>3.39</v>
      </c>
      <c r="E402" s="25">
        <v>79</v>
      </c>
      <c r="F402" s="54">
        <f t="shared" si="9"/>
        <v>4.9664299991825943E-2</v>
      </c>
    </row>
    <row r="403" spans="3:6">
      <c r="C403" s="28" t="s">
        <v>18</v>
      </c>
      <c r="D403" s="27">
        <v>14.65</v>
      </c>
      <c r="E403" s="27">
        <v>64</v>
      </c>
      <c r="F403" s="54">
        <f t="shared" si="9"/>
        <v>3.2594932345220165E-2</v>
      </c>
    </row>
    <row r="404" spans="3:6">
      <c r="C404" s="23" t="s">
        <v>18</v>
      </c>
      <c r="D404" s="25">
        <v>5.7</v>
      </c>
      <c r="E404" s="25">
        <v>106</v>
      </c>
      <c r="F404" s="54">
        <f t="shared" si="9"/>
        <v>8.9413247029026796E-2</v>
      </c>
    </row>
    <row r="405" spans="3:6">
      <c r="C405" s="23" t="s">
        <v>18</v>
      </c>
      <c r="D405" s="25">
        <v>5.45</v>
      </c>
      <c r="E405" s="25">
        <v>34</v>
      </c>
      <c r="F405" s="54">
        <f t="shared" si="9"/>
        <v>9.1991557107115509E-3</v>
      </c>
    </row>
    <row r="406" spans="3:6">
      <c r="C406" s="23" t="s">
        <v>18</v>
      </c>
      <c r="D406" s="25">
        <v>2.29</v>
      </c>
      <c r="E406" s="25">
        <v>29</v>
      </c>
      <c r="F406" s="54">
        <f t="shared" si="9"/>
        <v>6.6924653570141993E-3</v>
      </c>
    </row>
    <row r="407" spans="3:6">
      <c r="C407" s="23" t="s">
        <v>18</v>
      </c>
      <c r="D407" s="26">
        <v>9.9499999999999993</v>
      </c>
      <c r="E407" s="26">
        <v>70</v>
      </c>
      <c r="F407" s="54">
        <f t="shared" si="9"/>
        <v>3.8992961057514361E-2</v>
      </c>
    </row>
    <row r="408" spans="3:6">
      <c r="C408" s="23" t="s">
        <v>18</v>
      </c>
      <c r="D408" s="26">
        <v>8.9499999999999993</v>
      </c>
      <c r="E408" s="26">
        <v>45</v>
      </c>
      <c r="F408" s="54">
        <f t="shared" si="9"/>
        <v>1.6114437988054404E-2</v>
      </c>
    </row>
    <row r="409" spans="3:6">
      <c r="C409" s="23" t="s">
        <v>18</v>
      </c>
      <c r="D409" s="26">
        <v>6.4</v>
      </c>
      <c r="E409" s="26">
        <v>96</v>
      </c>
      <c r="F409" s="54">
        <f t="shared" si="9"/>
        <v>7.3338597776745368E-2</v>
      </c>
    </row>
    <row r="410" spans="3:6">
      <c r="C410" s="23" t="s">
        <v>18</v>
      </c>
      <c r="D410" s="26">
        <v>4.2</v>
      </c>
      <c r="E410" s="26">
        <v>18</v>
      </c>
      <c r="F410" s="54">
        <f t="shared" si="9"/>
        <v>2.5783100780887047E-3</v>
      </c>
    </row>
    <row r="411" spans="3:6">
      <c r="C411" s="23" t="s">
        <v>18</v>
      </c>
      <c r="D411" s="25">
        <v>4.5999999999999996</v>
      </c>
      <c r="E411" s="25">
        <v>55</v>
      </c>
      <c r="F411" s="54">
        <f t="shared" si="9"/>
        <v>2.407218514264917E-2</v>
      </c>
    </row>
    <row r="412" spans="3:6">
      <c r="C412" s="33" t="s">
        <v>18</v>
      </c>
      <c r="D412" s="34">
        <v>7.15</v>
      </c>
      <c r="E412" s="34">
        <v>41</v>
      </c>
      <c r="F412" s="54">
        <f t="shared" si="9"/>
        <v>1.3376972966873802E-2</v>
      </c>
    </row>
    <row r="413" spans="3:6">
      <c r="C413" s="23" t="s">
        <v>18</v>
      </c>
      <c r="D413" s="25">
        <v>9.4</v>
      </c>
      <c r="E413" s="25">
        <v>122</v>
      </c>
      <c r="F413" s="54">
        <f t="shared" si="9"/>
        <v>0.11844310864898851</v>
      </c>
    </row>
    <row r="414" spans="3:6">
      <c r="C414" s="25" t="s">
        <v>18</v>
      </c>
      <c r="D414" s="25">
        <v>2.4500000000000002</v>
      </c>
      <c r="E414" s="25">
        <v>127</v>
      </c>
      <c r="F414" s="54">
        <f t="shared" si="9"/>
        <v>0.12835050385645899</v>
      </c>
    </row>
    <row r="415" spans="3:6">
      <c r="C415" s="46"/>
      <c r="D415" s="46"/>
      <c r="E415" s="46"/>
      <c r="F415" s="54">
        <f t="shared" si="9"/>
        <v>0</v>
      </c>
    </row>
    <row r="416" spans="3:6">
      <c r="C416" s="46"/>
      <c r="D416" s="46"/>
      <c r="E416" s="46"/>
      <c r="F416" s="54">
        <f t="shared" si="9"/>
        <v>0</v>
      </c>
    </row>
    <row r="417" spans="3:6">
      <c r="C417" s="46"/>
      <c r="D417" s="46"/>
      <c r="E417" s="46"/>
      <c r="F417" s="54">
        <f t="shared" si="9"/>
        <v>0</v>
      </c>
    </row>
    <row r="418" spans="3:6">
      <c r="C418" s="46"/>
      <c r="D418" s="46"/>
      <c r="E418" s="46"/>
      <c r="F418" s="54">
        <f t="shared" si="9"/>
        <v>0</v>
      </c>
    </row>
    <row r="419" spans="3:6">
      <c r="C419" s="46"/>
      <c r="D419" s="46"/>
      <c r="E419" s="46"/>
      <c r="F419" s="54">
        <f t="shared" si="9"/>
        <v>0</v>
      </c>
    </row>
    <row r="420" spans="3:6">
      <c r="C420" s="46"/>
      <c r="D420" s="46"/>
      <c r="E420" s="46"/>
      <c r="F420" s="54">
        <f t="shared" si="9"/>
        <v>0</v>
      </c>
    </row>
    <row r="421" spans="3:6">
      <c r="C421" s="46"/>
      <c r="D421" s="46"/>
      <c r="E421" s="46"/>
      <c r="F421" s="54">
        <f t="shared" si="9"/>
        <v>0</v>
      </c>
    </row>
    <row r="422" spans="3:6">
      <c r="C422" s="46"/>
      <c r="D422" s="46"/>
      <c r="E422" s="46"/>
      <c r="F422" s="54">
        <f t="shared" si="9"/>
        <v>0</v>
      </c>
    </row>
    <row r="423" spans="3:6">
      <c r="C423" s="46"/>
      <c r="D423" s="46"/>
      <c r="E423" s="46"/>
      <c r="F423" s="54">
        <f t="shared" si="9"/>
        <v>0</v>
      </c>
    </row>
    <row r="424" spans="3:6">
      <c r="C424" s="46"/>
      <c r="D424" s="46"/>
      <c r="E424" s="46"/>
      <c r="F424" s="54">
        <f t="shared" si="9"/>
        <v>0</v>
      </c>
    </row>
    <row r="425" spans="3:6">
      <c r="C425" s="46"/>
      <c r="D425" s="46"/>
      <c r="E425" s="46"/>
      <c r="F425" s="54">
        <f t="shared" si="9"/>
        <v>0</v>
      </c>
    </row>
    <row r="426" spans="3:6">
      <c r="C426" s="46"/>
      <c r="D426" s="46"/>
      <c r="E426" s="46"/>
      <c r="F426" s="54">
        <f t="shared" si="9"/>
        <v>0</v>
      </c>
    </row>
    <row r="427" spans="3:6">
      <c r="C427" s="46"/>
      <c r="D427" s="46"/>
      <c r="E427" s="46"/>
      <c r="F427" s="54">
        <f t="shared" si="9"/>
        <v>0</v>
      </c>
    </row>
    <row r="428" spans="3:6">
      <c r="C428" s="46"/>
      <c r="D428" s="46"/>
      <c r="E428" s="46"/>
      <c r="F428" s="54">
        <f t="shared" si="9"/>
        <v>0</v>
      </c>
    </row>
    <row r="429" spans="3:6">
      <c r="C429" s="46"/>
      <c r="D429" s="46"/>
      <c r="E429" s="46"/>
      <c r="F429" s="54">
        <f t="shared" si="9"/>
        <v>0</v>
      </c>
    </row>
    <row r="430" spans="3:6">
      <c r="C430" s="46"/>
      <c r="D430" s="46"/>
      <c r="E430" s="46"/>
      <c r="F430" s="54">
        <f t="shared" si="9"/>
        <v>0</v>
      </c>
    </row>
    <row r="431" spans="3:6">
      <c r="C431" s="46"/>
      <c r="D431" s="46"/>
      <c r="E431" s="46"/>
      <c r="F431" s="54">
        <f t="shared" si="9"/>
        <v>0</v>
      </c>
    </row>
    <row r="432" spans="3:6">
      <c r="C432" s="46"/>
      <c r="D432" s="46"/>
      <c r="E432" s="46"/>
      <c r="F432" s="54">
        <f t="shared" si="9"/>
        <v>0</v>
      </c>
    </row>
    <row r="433" spans="3:6">
      <c r="C433" s="46"/>
      <c r="D433" s="46"/>
      <c r="E433" s="46"/>
      <c r="F433" s="54">
        <f t="shared" si="9"/>
        <v>0</v>
      </c>
    </row>
    <row r="434" spans="3:6">
      <c r="C434" s="46"/>
      <c r="D434" s="46"/>
      <c r="E434" s="46"/>
      <c r="F434" s="54">
        <f t="shared" si="9"/>
        <v>0</v>
      </c>
    </row>
    <row r="435" spans="3:6">
      <c r="C435" s="46"/>
      <c r="D435" s="46"/>
      <c r="E435" s="46"/>
      <c r="F435" s="54">
        <f t="shared" si="9"/>
        <v>0</v>
      </c>
    </row>
    <row r="436" spans="3:6">
      <c r="C436" s="46"/>
      <c r="D436" s="46"/>
      <c r="E436" s="46"/>
      <c r="F436" s="54">
        <f t="shared" si="9"/>
        <v>0</v>
      </c>
    </row>
    <row r="437" spans="3:6">
      <c r="C437" s="46"/>
      <c r="D437" s="46"/>
      <c r="E437" s="46"/>
      <c r="F437" s="54">
        <f t="shared" si="9"/>
        <v>0</v>
      </c>
    </row>
    <row r="438" spans="3:6">
      <c r="C438" s="46"/>
      <c r="D438" s="46"/>
      <c r="E438" s="46"/>
      <c r="F438" s="54">
        <f t="shared" si="9"/>
        <v>0</v>
      </c>
    </row>
    <row r="439" spans="3:6">
      <c r="C439" s="46"/>
      <c r="D439" s="46"/>
      <c r="E439" s="46"/>
      <c r="F439" s="54">
        <f t="shared" si="9"/>
        <v>0</v>
      </c>
    </row>
    <row r="440" spans="3:6">
      <c r="C440" s="46"/>
      <c r="D440" s="46"/>
      <c r="E440" s="46"/>
      <c r="F440" s="54">
        <f t="shared" si="9"/>
        <v>0</v>
      </c>
    </row>
    <row r="441" spans="3:6">
      <c r="C441" s="46"/>
      <c r="D441" s="46"/>
      <c r="E441" s="46"/>
      <c r="F441" s="54">
        <f t="shared" si="9"/>
        <v>0</v>
      </c>
    </row>
    <row r="442" spans="3:6">
      <c r="C442" s="46"/>
      <c r="D442" s="46"/>
      <c r="E442" s="46"/>
      <c r="F442" s="54">
        <f t="shared" si="9"/>
        <v>0</v>
      </c>
    </row>
    <row r="443" spans="3:6">
      <c r="C443" s="46"/>
      <c r="D443" s="46"/>
      <c r="E443" s="46"/>
      <c r="F443" s="54">
        <f t="shared" si="9"/>
        <v>0</v>
      </c>
    </row>
    <row r="444" spans="3:6">
      <c r="C444" s="46"/>
      <c r="D444" s="46"/>
      <c r="E444" s="46"/>
      <c r="F444" s="54">
        <f t="shared" si="9"/>
        <v>0</v>
      </c>
    </row>
    <row r="445" spans="3:6">
      <c r="C445" s="46"/>
      <c r="D445" s="46"/>
      <c r="E445" s="46"/>
      <c r="F445" s="54">
        <f t="shared" si="9"/>
        <v>0</v>
      </c>
    </row>
    <row r="446" spans="3:6">
      <c r="C446" s="46"/>
      <c r="D446" s="46"/>
      <c r="E446" s="46"/>
      <c r="F446" s="54">
        <f t="shared" si="9"/>
        <v>0</v>
      </c>
    </row>
    <row r="447" spans="3:6">
      <c r="C447" s="46"/>
      <c r="D447" s="46"/>
      <c r="E447" s="46"/>
      <c r="F447" s="54">
        <f t="shared" si="9"/>
        <v>0</v>
      </c>
    </row>
    <row r="448" spans="3:6">
      <c r="C448" s="46"/>
      <c r="D448" s="46"/>
      <c r="E448" s="46"/>
      <c r="F448" s="54">
        <f t="shared" si="9"/>
        <v>0</v>
      </c>
    </row>
    <row r="449" spans="3:6">
      <c r="C449" s="46"/>
      <c r="D449" s="46"/>
      <c r="E449" s="46"/>
      <c r="F449" s="54">
        <f t="shared" si="9"/>
        <v>0</v>
      </c>
    </row>
    <row r="450" spans="3:6">
      <c r="C450" s="46"/>
      <c r="D450" s="46"/>
      <c r="E450" s="46"/>
      <c r="F450" s="54">
        <f t="shared" si="9"/>
        <v>0</v>
      </c>
    </row>
    <row r="451" spans="3:6">
      <c r="C451" s="46"/>
      <c r="D451" s="46"/>
      <c r="E451" s="46"/>
      <c r="F451" s="54">
        <f t="shared" ref="F451:F514" si="10">E451*E451/(4*PI()*10000)</f>
        <v>0</v>
      </c>
    </row>
    <row r="452" spans="3:6">
      <c r="C452" s="46"/>
      <c r="D452" s="46"/>
      <c r="E452" s="46"/>
      <c r="F452" s="54">
        <f t="shared" si="10"/>
        <v>0</v>
      </c>
    </row>
    <row r="453" spans="3:6">
      <c r="C453" s="46"/>
      <c r="D453" s="46"/>
      <c r="E453" s="46"/>
      <c r="F453" s="54">
        <f t="shared" si="10"/>
        <v>0</v>
      </c>
    </row>
    <row r="454" spans="3:6">
      <c r="C454" s="46"/>
      <c r="D454" s="46"/>
      <c r="E454" s="46"/>
      <c r="F454" s="54">
        <f t="shared" si="10"/>
        <v>0</v>
      </c>
    </row>
    <row r="455" spans="3:6">
      <c r="C455" s="46"/>
      <c r="D455" s="46"/>
      <c r="E455" s="46"/>
      <c r="F455" s="54">
        <f t="shared" si="10"/>
        <v>0</v>
      </c>
    </row>
    <row r="456" spans="3:6">
      <c r="C456" s="46"/>
      <c r="D456" s="46"/>
      <c r="E456" s="46"/>
      <c r="F456" s="54">
        <f t="shared" si="10"/>
        <v>0</v>
      </c>
    </row>
    <row r="457" spans="3:6">
      <c r="C457" s="46"/>
      <c r="D457" s="46"/>
      <c r="E457" s="46"/>
      <c r="F457" s="54">
        <f t="shared" si="10"/>
        <v>0</v>
      </c>
    </row>
    <row r="458" spans="3:6">
      <c r="C458" s="46"/>
      <c r="D458" s="46"/>
      <c r="E458" s="46"/>
      <c r="F458" s="54">
        <f t="shared" si="10"/>
        <v>0</v>
      </c>
    </row>
    <row r="459" spans="3:6">
      <c r="C459" s="46"/>
      <c r="D459" s="46"/>
      <c r="E459" s="46"/>
      <c r="F459" s="54">
        <f t="shared" si="10"/>
        <v>0</v>
      </c>
    </row>
    <row r="460" spans="3:6">
      <c r="C460" s="46"/>
      <c r="D460" s="46"/>
      <c r="E460" s="46"/>
      <c r="F460" s="54">
        <f t="shared" si="10"/>
        <v>0</v>
      </c>
    </row>
    <row r="461" spans="3:6">
      <c r="C461" s="46"/>
      <c r="D461" s="46"/>
      <c r="E461" s="46"/>
      <c r="F461" s="54">
        <f t="shared" si="10"/>
        <v>0</v>
      </c>
    </row>
    <row r="462" spans="3:6">
      <c r="C462" s="46"/>
      <c r="D462" s="46"/>
      <c r="E462" s="46"/>
      <c r="F462" s="54">
        <f t="shared" si="10"/>
        <v>0</v>
      </c>
    </row>
    <row r="463" spans="3:6">
      <c r="C463" s="46"/>
      <c r="D463" s="46"/>
      <c r="E463" s="46"/>
      <c r="F463" s="54">
        <f t="shared" si="10"/>
        <v>0</v>
      </c>
    </row>
    <row r="464" spans="3:6">
      <c r="C464" s="46"/>
      <c r="D464" s="46"/>
      <c r="E464" s="46"/>
      <c r="F464" s="54">
        <f t="shared" si="10"/>
        <v>0</v>
      </c>
    </row>
    <row r="465" spans="3:6">
      <c r="C465" s="46"/>
      <c r="D465" s="46"/>
      <c r="E465" s="46"/>
      <c r="F465" s="54">
        <f t="shared" si="10"/>
        <v>0</v>
      </c>
    </row>
    <row r="466" spans="3:6">
      <c r="C466" s="46"/>
      <c r="D466" s="46"/>
      <c r="E466" s="46"/>
      <c r="F466" s="54">
        <f t="shared" si="10"/>
        <v>0</v>
      </c>
    </row>
    <row r="467" spans="3:6">
      <c r="C467" s="46"/>
      <c r="D467" s="46"/>
      <c r="E467" s="46"/>
      <c r="F467" s="54">
        <f t="shared" si="10"/>
        <v>0</v>
      </c>
    </row>
    <row r="468" spans="3:6">
      <c r="C468" s="46"/>
      <c r="D468" s="46"/>
      <c r="E468" s="46"/>
      <c r="F468" s="54">
        <f t="shared" si="10"/>
        <v>0</v>
      </c>
    </row>
    <row r="469" spans="3:6">
      <c r="C469" s="46"/>
      <c r="D469" s="46"/>
      <c r="E469" s="46"/>
      <c r="F469" s="54">
        <f t="shared" si="10"/>
        <v>0</v>
      </c>
    </row>
    <row r="470" spans="3:6">
      <c r="C470" s="46"/>
      <c r="D470" s="46"/>
      <c r="E470" s="46"/>
      <c r="F470" s="54">
        <f t="shared" si="10"/>
        <v>0</v>
      </c>
    </row>
    <row r="471" spans="3:6">
      <c r="C471" s="46"/>
      <c r="D471" s="46"/>
      <c r="E471" s="46"/>
      <c r="F471" s="54">
        <f t="shared" si="10"/>
        <v>0</v>
      </c>
    </row>
    <row r="472" spans="3:6">
      <c r="C472" s="46"/>
      <c r="D472" s="46"/>
      <c r="E472" s="46"/>
      <c r="F472" s="54">
        <f t="shared" si="10"/>
        <v>0</v>
      </c>
    </row>
    <row r="473" spans="3:6">
      <c r="C473" s="46"/>
      <c r="D473" s="46"/>
      <c r="E473" s="46"/>
      <c r="F473" s="54">
        <f t="shared" si="10"/>
        <v>0</v>
      </c>
    </row>
    <row r="474" spans="3:6">
      <c r="C474" s="46"/>
      <c r="D474" s="46"/>
      <c r="E474" s="46"/>
      <c r="F474" s="54">
        <f t="shared" si="10"/>
        <v>0</v>
      </c>
    </row>
    <row r="475" spans="3:6">
      <c r="C475" s="46"/>
      <c r="D475" s="46"/>
      <c r="E475" s="46"/>
      <c r="F475" s="54">
        <f t="shared" si="10"/>
        <v>0</v>
      </c>
    </row>
    <row r="476" spans="3:6">
      <c r="C476" s="46"/>
      <c r="D476" s="46"/>
      <c r="E476" s="46"/>
      <c r="F476" s="54">
        <f t="shared" si="10"/>
        <v>0</v>
      </c>
    </row>
    <row r="477" spans="3:6">
      <c r="C477" s="46"/>
      <c r="D477" s="46"/>
      <c r="E477" s="46"/>
      <c r="F477" s="54">
        <f t="shared" si="10"/>
        <v>0</v>
      </c>
    </row>
    <row r="478" spans="3:6">
      <c r="C478" s="46"/>
      <c r="D478" s="46"/>
      <c r="E478" s="46"/>
      <c r="F478" s="54">
        <f t="shared" si="10"/>
        <v>0</v>
      </c>
    </row>
    <row r="479" spans="3:6">
      <c r="C479" s="46"/>
      <c r="D479" s="46"/>
      <c r="E479" s="46"/>
      <c r="F479" s="54">
        <f t="shared" si="10"/>
        <v>0</v>
      </c>
    </row>
    <row r="480" spans="3:6">
      <c r="C480" s="46"/>
      <c r="D480" s="46"/>
      <c r="E480" s="46"/>
      <c r="F480" s="54">
        <f t="shared" si="10"/>
        <v>0</v>
      </c>
    </row>
    <row r="481" spans="3:6">
      <c r="C481" s="46"/>
      <c r="D481" s="46"/>
      <c r="E481" s="46"/>
      <c r="F481" s="54">
        <f t="shared" si="10"/>
        <v>0</v>
      </c>
    </row>
    <row r="482" spans="3:6">
      <c r="C482" s="46"/>
      <c r="D482" s="46"/>
      <c r="E482" s="46"/>
      <c r="F482" s="54">
        <f t="shared" si="10"/>
        <v>0</v>
      </c>
    </row>
    <row r="483" spans="3:6">
      <c r="C483" s="46"/>
      <c r="D483" s="46"/>
      <c r="E483" s="46"/>
      <c r="F483" s="54">
        <f t="shared" si="10"/>
        <v>0</v>
      </c>
    </row>
    <row r="484" spans="3:6">
      <c r="C484" s="46"/>
      <c r="D484" s="46"/>
      <c r="E484" s="46"/>
      <c r="F484" s="54">
        <f t="shared" si="10"/>
        <v>0</v>
      </c>
    </row>
    <row r="485" spans="3:6">
      <c r="C485" s="46"/>
      <c r="D485" s="46"/>
      <c r="E485" s="46"/>
      <c r="F485" s="54">
        <f t="shared" si="10"/>
        <v>0</v>
      </c>
    </row>
    <row r="486" spans="3:6">
      <c r="C486" s="46"/>
      <c r="D486" s="46"/>
      <c r="E486" s="46"/>
      <c r="F486" s="54">
        <f t="shared" si="10"/>
        <v>0</v>
      </c>
    </row>
    <row r="487" spans="3:6">
      <c r="C487" s="46"/>
      <c r="D487" s="46"/>
      <c r="E487" s="46"/>
      <c r="F487" s="54">
        <f t="shared" si="10"/>
        <v>0</v>
      </c>
    </row>
    <row r="488" spans="3:6">
      <c r="C488" s="46"/>
      <c r="D488" s="46"/>
      <c r="E488" s="46"/>
      <c r="F488" s="54">
        <f t="shared" si="10"/>
        <v>0</v>
      </c>
    </row>
    <row r="489" spans="3:6">
      <c r="C489" s="46"/>
      <c r="D489" s="46"/>
      <c r="E489" s="46"/>
      <c r="F489" s="54">
        <f t="shared" si="10"/>
        <v>0</v>
      </c>
    </row>
    <row r="490" spans="3:6">
      <c r="C490" s="46"/>
      <c r="D490" s="46"/>
      <c r="E490" s="46"/>
      <c r="F490" s="54">
        <f t="shared" si="10"/>
        <v>0</v>
      </c>
    </row>
    <row r="491" spans="3:6">
      <c r="C491" s="46"/>
      <c r="D491" s="46"/>
      <c r="E491" s="46"/>
      <c r="F491" s="54">
        <f t="shared" si="10"/>
        <v>0</v>
      </c>
    </row>
    <row r="492" spans="3:6">
      <c r="C492" s="46"/>
      <c r="D492" s="46"/>
      <c r="E492" s="46"/>
      <c r="F492" s="54">
        <f t="shared" si="10"/>
        <v>0</v>
      </c>
    </row>
    <row r="493" spans="3:6">
      <c r="C493" s="46"/>
      <c r="D493" s="46"/>
      <c r="E493" s="46"/>
      <c r="F493" s="54">
        <f t="shared" si="10"/>
        <v>0</v>
      </c>
    </row>
    <row r="494" spans="3:6">
      <c r="C494" s="46"/>
      <c r="D494" s="46"/>
      <c r="E494" s="46"/>
      <c r="F494" s="54">
        <f t="shared" si="10"/>
        <v>0</v>
      </c>
    </row>
    <row r="495" spans="3:6">
      <c r="C495" s="46"/>
      <c r="D495" s="46"/>
      <c r="E495" s="46"/>
      <c r="F495" s="54">
        <f t="shared" si="10"/>
        <v>0</v>
      </c>
    </row>
    <row r="496" spans="3:6">
      <c r="C496" s="46"/>
      <c r="D496" s="46"/>
      <c r="E496" s="46"/>
      <c r="F496" s="54">
        <f t="shared" si="10"/>
        <v>0</v>
      </c>
    </row>
    <row r="497" spans="3:6">
      <c r="C497" s="46"/>
      <c r="D497" s="46"/>
      <c r="E497" s="46"/>
      <c r="F497" s="54">
        <f t="shared" si="10"/>
        <v>0</v>
      </c>
    </row>
    <row r="498" spans="3:6">
      <c r="C498" s="46"/>
      <c r="D498" s="46"/>
      <c r="E498" s="46"/>
      <c r="F498" s="54">
        <f t="shared" si="10"/>
        <v>0</v>
      </c>
    </row>
    <row r="499" spans="3:6">
      <c r="C499" s="46"/>
      <c r="D499" s="46"/>
      <c r="E499" s="46"/>
      <c r="F499" s="54">
        <f t="shared" si="10"/>
        <v>0</v>
      </c>
    </row>
    <row r="500" spans="3:6">
      <c r="C500" s="46"/>
      <c r="D500" s="46"/>
      <c r="E500" s="46"/>
      <c r="F500" s="54">
        <f t="shared" si="10"/>
        <v>0</v>
      </c>
    </row>
    <row r="501" spans="3:6">
      <c r="C501" s="46"/>
      <c r="D501" s="46"/>
      <c r="E501" s="46"/>
      <c r="F501" s="54">
        <f t="shared" si="10"/>
        <v>0</v>
      </c>
    </row>
    <row r="502" spans="3:6">
      <c r="C502" s="46"/>
      <c r="D502" s="46"/>
      <c r="E502" s="46"/>
      <c r="F502" s="54">
        <f t="shared" si="10"/>
        <v>0</v>
      </c>
    </row>
    <row r="503" spans="3:6">
      <c r="C503" s="46"/>
      <c r="D503" s="46"/>
      <c r="E503" s="46"/>
      <c r="F503" s="54">
        <f t="shared" si="10"/>
        <v>0</v>
      </c>
    </row>
    <row r="504" spans="3:6">
      <c r="C504" s="46"/>
      <c r="D504" s="46"/>
      <c r="E504" s="46"/>
      <c r="F504" s="54">
        <f t="shared" si="10"/>
        <v>0</v>
      </c>
    </row>
    <row r="505" spans="3:6">
      <c r="C505" s="46"/>
      <c r="D505" s="46"/>
      <c r="E505" s="46"/>
      <c r="F505" s="54">
        <f t="shared" si="10"/>
        <v>0</v>
      </c>
    </row>
    <row r="506" spans="3:6">
      <c r="C506" s="46"/>
      <c r="D506" s="46"/>
      <c r="E506" s="46"/>
      <c r="F506" s="54">
        <f t="shared" si="10"/>
        <v>0</v>
      </c>
    </row>
    <row r="507" spans="3:6">
      <c r="C507" s="46"/>
      <c r="D507" s="46"/>
      <c r="E507" s="46"/>
      <c r="F507" s="54">
        <f t="shared" si="10"/>
        <v>0</v>
      </c>
    </row>
    <row r="508" spans="3:6">
      <c r="C508" s="46"/>
      <c r="D508" s="46"/>
      <c r="E508" s="46"/>
      <c r="F508" s="54">
        <f t="shared" si="10"/>
        <v>0</v>
      </c>
    </row>
    <row r="509" spans="3:6">
      <c r="C509" s="46"/>
      <c r="D509" s="46"/>
      <c r="E509" s="46"/>
      <c r="F509" s="54">
        <f t="shared" si="10"/>
        <v>0</v>
      </c>
    </row>
    <row r="510" spans="3:6">
      <c r="C510" s="46"/>
      <c r="D510" s="46"/>
      <c r="E510" s="46"/>
      <c r="F510" s="54">
        <f t="shared" si="10"/>
        <v>0</v>
      </c>
    </row>
    <row r="511" spans="3:6">
      <c r="C511" s="46"/>
      <c r="D511" s="46"/>
      <c r="E511" s="46"/>
      <c r="F511" s="54">
        <f t="shared" si="10"/>
        <v>0</v>
      </c>
    </row>
    <row r="512" spans="3:6">
      <c r="C512" s="46"/>
      <c r="D512" s="46"/>
      <c r="E512" s="46"/>
      <c r="F512" s="54">
        <f t="shared" si="10"/>
        <v>0</v>
      </c>
    </row>
    <row r="513" spans="3:6">
      <c r="C513" s="46"/>
      <c r="D513" s="46"/>
      <c r="E513" s="46"/>
      <c r="F513" s="54">
        <f t="shared" si="10"/>
        <v>0</v>
      </c>
    </row>
    <row r="514" spans="3:6">
      <c r="C514" s="46"/>
      <c r="D514" s="46"/>
      <c r="E514" s="46"/>
      <c r="F514" s="54">
        <f t="shared" si="10"/>
        <v>0</v>
      </c>
    </row>
    <row r="515" spans="3:6">
      <c r="C515" s="46"/>
      <c r="D515" s="46"/>
      <c r="E515" s="46"/>
      <c r="F515" s="54">
        <f t="shared" ref="F515:F578" si="11">E515*E515/(4*PI()*10000)</f>
        <v>0</v>
      </c>
    </row>
    <row r="516" spans="3:6">
      <c r="C516" s="46"/>
      <c r="D516" s="46"/>
      <c r="E516" s="46"/>
      <c r="F516" s="54">
        <f t="shared" si="11"/>
        <v>0</v>
      </c>
    </row>
    <row r="517" spans="3:6">
      <c r="C517" s="46"/>
      <c r="D517" s="46"/>
      <c r="E517" s="46"/>
      <c r="F517" s="54">
        <f t="shared" si="11"/>
        <v>0</v>
      </c>
    </row>
    <row r="518" spans="3:6">
      <c r="C518" s="46"/>
      <c r="D518" s="46"/>
      <c r="E518" s="46"/>
      <c r="F518" s="54">
        <f t="shared" si="11"/>
        <v>0</v>
      </c>
    </row>
    <row r="519" spans="3:6">
      <c r="C519" s="46"/>
      <c r="D519" s="46"/>
      <c r="E519" s="46"/>
      <c r="F519" s="54">
        <f t="shared" si="11"/>
        <v>0</v>
      </c>
    </row>
    <row r="520" spans="3:6">
      <c r="C520" s="46"/>
      <c r="D520" s="46"/>
      <c r="E520" s="46"/>
      <c r="F520" s="54">
        <f t="shared" si="11"/>
        <v>0</v>
      </c>
    </row>
    <row r="521" spans="3:6">
      <c r="C521" s="46"/>
      <c r="D521" s="46"/>
      <c r="E521" s="46"/>
      <c r="F521" s="54">
        <f t="shared" si="11"/>
        <v>0</v>
      </c>
    </row>
    <row r="522" spans="3:6">
      <c r="C522" s="46"/>
      <c r="D522" s="46"/>
      <c r="E522" s="46"/>
      <c r="F522" s="54">
        <f t="shared" si="11"/>
        <v>0</v>
      </c>
    </row>
    <row r="523" spans="3:6">
      <c r="C523" s="46"/>
      <c r="D523" s="46"/>
      <c r="E523" s="46"/>
      <c r="F523" s="54">
        <f t="shared" si="11"/>
        <v>0</v>
      </c>
    </row>
    <row r="524" spans="3:6">
      <c r="C524" s="46"/>
      <c r="D524" s="46"/>
      <c r="E524" s="46"/>
      <c r="F524" s="54">
        <f t="shared" si="11"/>
        <v>0</v>
      </c>
    </row>
    <row r="525" spans="3:6">
      <c r="C525" s="46"/>
      <c r="D525" s="46"/>
      <c r="E525" s="46"/>
      <c r="F525" s="54">
        <f t="shared" si="11"/>
        <v>0</v>
      </c>
    </row>
    <row r="526" spans="3:6">
      <c r="C526" s="46"/>
      <c r="D526" s="46"/>
      <c r="E526" s="46"/>
      <c r="F526" s="54">
        <f t="shared" si="11"/>
        <v>0</v>
      </c>
    </row>
    <row r="527" spans="3:6">
      <c r="C527" s="46"/>
      <c r="D527" s="46"/>
      <c r="E527" s="46"/>
      <c r="F527" s="54">
        <f t="shared" si="11"/>
        <v>0</v>
      </c>
    </row>
    <row r="528" spans="3:6">
      <c r="C528" s="46"/>
      <c r="D528" s="46"/>
      <c r="E528" s="46"/>
      <c r="F528" s="54">
        <f t="shared" si="11"/>
        <v>0</v>
      </c>
    </row>
    <row r="529" spans="3:6">
      <c r="C529" s="46"/>
      <c r="D529" s="46"/>
      <c r="E529" s="46"/>
      <c r="F529" s="54">
        <f t="shared" si="11"/>
        <v>0</v>
      </c>
    </row>
    <row r="530" spans="3:6">
      <c r="C530" s="46"/>
      <c r="D530" s="46"/>
      <c r="E530" s="46"/>
      <c r="F530" s="54">
        <f t="shared" si="11"/>
        <v>0</v>
      </c>
    </row>
    <row r="531" spans="3:6">
      <c r="C531" s="46"/>
      <c r="D531" s="46"/>
      <c r="E531" s="46"/>
      <c r="F531" s="54">
        <f t="shared" si="11"/>
        <v>0</v>
      </c>
    </row>
    <row r="532" spans="3:6">
      <c r="C532" s="46"/>
      <c r="D532" s="46"/>
      <c r="E532" s="46"/>
      <c r="F532" s="54">
        <f t="shared" si="11"/>
        <v>0</v>
      </c>
    </row>
    <row r="533" spans="3:6">
      <c r="C533" s="46"/>
      <c r="D533" s="46"/>
      <c r="E533" s="46"/>
      <c r="F533" s="54">
        <f t="shared" si="11"/>
        <v>0</v>
      </c>
    </row>
    <row r="534" spans="3:6">
      <c r="C534" s="46"/>
      <c r="D534" s="46"/>
      <c r="E534" s="46"/>
      <c r="F534" s="54">
        <f t="shared" si="11"/>
        <v>0</v>
      </c>
    </row>
    <row r="535" spans="3:6">
      <c r="C535" s="46"/>
      <c r="D535" s="46"/>
      <c r="E535" s="46"/>
      <c r="F535" s="54">
        <f t="shared" si="11"/>
        <v>0</v>
      </c>
    </row>
    <row r="536" spans="3:6">
      <c r="C536" s="46"/>
      <c r="D536" s="46"/>
      <c r="E536" s="46"/>
      <c r="F536" s="54">
        <f t="shared" si="11"/>
        <v>0</v>
      </c>
    </row>
    <row r="537" spans="3:6">
      <c r="C537" s="46"/>
      <c r="D537" s="46"/>
      <c r="E537" s="46"/>
      <c r="F537" s="54">
        <f t="shared" si="11"/>
        <v>0</v>
      </c>
    </row>
    <row r="538" spans="3:6">
      <c r="C538" s="46"/>
      <c r="D538" s="46"/>
      <c r="E538" s="46"/>
      <c r="F538" s="54">
        <f t="shared" si="11"/>
        <v>0</v>
      </c>
    </row>
    <row r="539" spans="3:6">
      <c r="C539" s="46"/>
      <c r="D539" s="46"/>
      <c r="E539" s="46"/>
      <c r="F539" s="54">
        <f t="shared" si="11"/>
        <v>0</v>
      </c>
    </row>
    <row r="540" spans="3:6">
      <c r="C540" s="46"/>
      <c r="D540" s="46"/>
      <c r="E540" s="46"/>
      <c r="F540" s="54">
        <f t="shared" si="11"/>
        <v>0</v>
      </c>
    </row>
    <row r="541" spans="3:6">
      <c r="C541" s="46"/>
      <c r="D541" s="46"/>
      <c r="E541" s="46"/>
      <c r="F541" s="54">
        <f t="shared" si="11"/>
        <v>0</v>
      </c>
    </row>
    <row r="542" spans="3:6">
      <c r="C542" s="46"/>
      <c r="D542" s="46"/>
      <c r="E542" s="46"/>
      <c r="F542" s="54">
        <f t="shared" si="11"/>
        <v>0</v>
      </c>
    </row>
    <row r="543" spans="3:6">
      <c r="C543" s="46"/>
      <c r="D543" s="46"/>
      <c r="E543" s="46"/>
      <c r="F543" s="54">
        <f t="shared" si="11"/>
        <v>0</v>
      </c>
    </row>
    <row r="544" spans="3:6">
      <c r="C544" s="46"/>
      <c r="D544" s="46"/>
      <c r="E544" s="46"/>
      <c r="F544" s="54">
        <f t="shared" si="11"/>
        <v>0</v>
      </c>
    </row>
    <row r="545" spans="3:6">
      <c r="C545" s="46"/>
      <c r="D545" s="46"/>
      <c r="E545" s="46"/>
      <c r="F545" s="54">
        <f t="shared" si="11"/>
        <v>0</v>
      </c>
    </row>
    <row r="546" spans="3:6">
      <c r="C546" s="46"/>
      <c r="D546" s="46"/>
      <c r="E546" s="46"/>
      <c r="F546" s="54">
        <f t="shared" si="11"/>
        <v>0</v>
      </c>
    </row>
    <row r="547" spans="3:6">
      <c r="C547" s="46"/>
      <c r="D547" s="46"/>
      <c r="E547" s="46"/>
      <c r="F547" s="54">
        <f t="shared" si="11"/>
        <v>0</v>
      </c>
    </row>
    <row r="548" spans="3:6">
      <c r="C548" s="46"/>
      <c r="D548" s="46"/>
      <c r="E548" s="46"/>
      <c r="F548" s="54">
        <f t="shared" si="11"/>
        <v>0</v>
      </c>
    </row>
    <row r="549" spans="3:6">
      <c r="C549" s="46"/>
      <c r="D549" s="46"/>
      <c r="E549" s="46"/>
      <c r="F549" s="54">
        <f t="shared" si="11"/>
        <v>0</v>
      </c>
    </row>
    <row r="550" spans="3:6">
      <c r="C550" s="46"/>
      <c r="D550" s="46"/>
      <c r="E550" s="46"/>
      <c r="F550" s="54">
        <f t="shared" si="11"/>
        <v>0</v>
      </c>
    </row>
    <row r="551" spans="3:6">
      <c r="C551" s="46"/>
      <c r="D551" s="46"/>
      <c r="E551" s="46"/>
      <c r="F551" s="54">
        <f t="shared" si="11"/>
        <v>0</v>
      </c>
    </row>
    <row r="552" spans="3:6">
      <c r="C552" s="46"/>
      <c r="D552" s="46"/>
      <c r="E552" s="46"/>
      <c r="F552" s="54">
        <f t="shared" si="11"/>
        <v>0</v>
      </c>
    </row>
    <row r="553" spans="3:6">
      <c r="C553" s="46"/>
      <c r="D553" s="46"/>
      <c r="E553" s="46"/>
      <c r="F553" s="54">
        <f t="shared" si="11"/>
        <v>0</v>
      </c>
    </row>
    <row r="554" spans="3:6">
      <c r="C554" s="46"/>
      <c r="D554" s="46"/>
      <c r="E554" s="46"/>
      <c r="F554" s="54">
        <f t="shared" si="11"/>
        <v>0</v>
      </c>
    </row>
    <row r="555" spans="3:6">
      <c r="C555" s="46"/>
      <c r="D555" s="46"/>
      <c r="E555" s="46"/>
      <c r="F555" s="54">
        <f t="shared" si="11"/>
        <v>0</v>
      </c>
    </row>
    <row r="556" spans="3:6">
      <c r="C556" s="46"/>
      <c r="D556" s="46"/>
      <c r="E556" s="46"/>
      <c r="F556" s="54">
        <f t="shared" si="11"/>
        <v>0</v>
      </c>
    </row>
    <row r="557" spans="3:6">
      <c r="C557" s="46"/>
      <c r="D557" s="46"/>
      <c r="E557" s="46"/>
      <c r="F557" s="54">
        <f t="shared" si="11"/>
        <v>0</v>
      </c>
    </row>
    <row r="558" spans="3:6">
      <c r="C558" s="46"/>
      <c r="D558" s="46"/>
      <c r="E558" s="46"/>
      <c r="F558" s="54">
        <f t="shared" si="11"/>
        <v>0</v>
      </c>
    </row>
    <row r="559" spans="3:6">
      <c r="C559" s="46"/>
      <c r="D559" s="46"/>
      <c r="E559" s="46"/>
      <c r="F559" s="54">
        <f t="shared" si="11"/>
        <v>0</v>
      </c>
    </row>
    <row r="560" spans="3:6">
      <c r="C560" s="46"/>
      <c r="D560" s="46"/>
      <c r="E560" s="46"/>
      <c r="F560" s="54">
        <f t="shared" si="11"/>
        <v>0</v>
      </c>
    </row>
    <row r="561" spans="3:6">
      <c r="C561" s="46"/>
      <c r="D561" s="46"/>
      <c r="E561" s="46"/>
      <c r="F561" s="54">
        <f t="shared" si="11"/>
        <v>0</v>
      </c>
    </row>
    <row r="562" spans="3:6">
      <c r="C562" s="46"/>
      <c r="D562" s="46"/>
      <c r="E562" s="46"/>
      <c r="F562" s="54">
        <f t="shared" si="11"/>
        <v>0</v>
      </c>
    </row>
    <row r="563" spans="3:6">
      <c r="C563" s="46"/>
      <c r="D563" s="46"/>
      <c r="E563" s="46"/>
      <c r="F563" s="54">
        <f t="shared" si="11"/>
        <v>0</v>
      </c>
    </row>
    <row r="564" spans="3:6">
      <c r="C564" s="46"/>
      <c r="D564" s="46"/>
      <c r="E564" s="46"/>
      <c r="F564" s="54">
        <f t="shared" si="11"/>
        <v>0</v>
      </c>
    </row>
    <row r="565" spans="3:6">
      <c r="C565" s="46"/>
      <c r="D565" s="46"/>
      <c r="E565" s="46"/>
      <c r="F565" s="54">
        <f t="shared" si="11"/>
        <v>0</v>
      </c>
    </row>
    <row r="566" spans="3:6">
      <c r="C566" s="46"/>
      <c r="D566" s="46"/>
      <c r="E566" s="46"/>
      <c r="F566" s="54">
        <f t="shared" si="11"/>
        <v>0</v>
      </c>
    </row>
    <row r="567" spans="3:6">
      <c r="C567" s="46"/>
      <c r="D567" s="46"/>
      <c r="E567" s="46"/>
      <c r="F567" s="54">
        <f t="shared" si="11"/>
        <v>0</v>
      </c>
    </row>
    <row r="568" spans="3:6">
      <c r="C568" s="46"/>
      <c r="D568" s="46"/>
      <c r="E568" s="46"/>
      <c r="F568" s="54">
        <f t="shared" si="11"/>
        <v>0</v>
      </c>
    </row>
    <row r="569" spans="3:6">
      <c r="C569" s="46"/>
      <c r="D569" s="46"/>
      <c r="E569" s="46"/>
      <c r="F569" s="54">
        <f t="shared" si="11"/>
        <v>0</v>
      </c>
    </row>
    <row r="570" spans="3:6">
      <c r="C570" s="46"/>
      <c r="D570" s="46"/>
      <c r="E570" s="46"/>
      <c r="F570" s="54">
        <f t="shared" si="11"/>
        <v>0</v>
      </c>
    </row>
    <row r="571" spans="3:6">
      <c r="C571" s="46"/>
      <c r="D571" s="46"/>
      <c r="E571" s="46"/>
      <c r="F571" s="54">
        <f t="shared" si="11"/>
        <v>0</v>
      </c>
    </row>
    <row r="572" spans="3:6">
      <c r="C572" s="46"/>
      <c r="D572" s="46"/>
      <c r="E572" s="46"/>
      <c r="F572" s="54">
        <f t="shared" si="11"/>
        <v>0</v>
      </c>
    </row>
    <row r="573" spans="3:6">
      <c r="C573" s="46"/>
      <c r="D573" s="46"/>
      <c r="E573" s="46"/>
      <c r="F573" s="54">
        <f t="shared" si="11"/>
        <v>0</v>
      </c>
    </row>
    <row r="574" spans="3:6">
      <c r="C574" s="46"/>
      <c r="D574" s="46"/>
      <c r="E574" s="46"/>
      <c r="F574" s="54">
        <f t="shared" si="11"/>
        <v>0</v>
      </c>
    </row>
    <row r="575" spans="3:6">
      <c r="C575" s="46"/>
      <c r="D575" s="46"/>
      <c r="E575" s="46"/>
      <c r="F575" s="54">
        <f t="shared" si="11"/>
        <v>0</v>
      </c>
    </row>
    <row r="576" spans="3:6">
      <c r="C576" s="46"/>
      <c r="D576" s="46"/>
      <c r="E576" s="46"/>
      <c r="F576" s="54">
        <f t="shared" si="11"/>
        <v>0</v>
      </c>
    </row>
    <row r="577" spans="3:6">
      <c r="C577" s="46"/>
      <c r="D577" s="46"/>
      <c r="E577" s="46"/>
      <c r="F577" s="54">
        <f t="shared" si="11"/>
        <v>0</v>
      </c>
    </row>
    <row r="578" spans="3:6">
      <c r="C578" s="46"/>
      <c r="D578" s="46"/>
      <c r="E578" s="46"/>
      <c r="F578" s="54">
        <f t="shared" si="11"/>
        <v>0</v>
      </c>
    </row>
    <row r="579" spans="3:6">
      <c r="C579" s="46"/>
      <c r="D579" s="46"/>
      <c r="E579" s="46"/>
      <c r="F579" s="54">
        <f t="shared" ref="F579:F642" si="12">E579*E579/(4*PI()*10000)</f>
        <v>0</v>
      </c>
    </row>
    <row r="580" spans="3:6">
      <c r="C580" s="46"/>
      <c r="D580" s="46"/>
      <c r="E580" s="46"/>
      <c r="F580" s="54">
        <f t="shared" si="12"/>
        <v>0</v>
      </c>
    </row>
    <row r="581" spans="3:6">
      <c r="C581" s="46"/>
      <c r="D581" s="46"/>
      <c r="E581" s="46"/>
      <c r="F581" s="54">
        <f t="shared" si="12"/>
        <v>0</v>
      </c>
    </row>
    <row r="582" spans="3:6">
      <c r="C582" s="46"/>
      <c r="D582" s="46"/>
      <c r="E582" s="46"/>
      <c r="F582" s="54">
        <f t="shared" si="12"/>
        <v>0</v>
      </c>
    </row>
    <row r="583" spans="3:6">
      <c r="C583" s="46"/>
      <c r="D583" s="46"/>
      <c r="E583" s="46"/>
      <c r="F583" s="54">
        <f t="shared" si="12"/>
        <v>0</v>
      </c>
    </row>
    <row r="584" spans="3:6">
      <c r="C584" s="46"/>
      <c r="D584" s="46"/>
      <c r="E584" s="46"/>
      <c r="F584" s="54">
        <f t="shared" si="12"/>
        <v>0</v>
      </c>
    </row>
    <row r="585" spans="3:6">
      <c r="C585" s="46"/>
      <c r="D585" s="46"/>
      <c r="E585" s="46"/>
      <c r="F585" s="54">
        <f t="shared" si="12"/>
        <v>0</v>
      </c>
    </row>
    <row r="586" spans="3:6">
      <c r="C586" s="46"/>
      <c r="D586" s="46"/>
      <c r="E586" s="46"/>
      <c r="F586" s="54">
        <f t="shared" si="12"/>
        <v>0</v>
      </c>
    </row>
    <row r="587" spans="3:6">
      <c r="C587" s="46"/>
      <c r="D587" s="46"/>
      <c r="E587" s="46"/>
      <c r="F587" s="54">
        <f t="shared" si="12"/>
        <v>0</v>
      </c>
    </row>
    <row r="588" spans="3:6">
      <c r="C588" s="46"/>
      <c r="D588" s="46"/>
      <c r="E588" s="46"/>
      <c r="F588" s="54">
        <f t="shared" si="12"/>
        <v>0</v>
      </c>
    </row>
    <row r="589" spans="3:6">
      <c r="C589" s="46"/>
      <c r="D589" s="46"/>
      <c r="E589" s="46"/>
      <c r="F589" s="54">
        <f t="shared" si="12"/>
        <v>0</v>
      </c>
    </row>
    <row r="590" spans="3:6">
      <c r="C590" s="46"/>
      <c r="D590" s="46"/>
      <c r="E590" s="46"/>
      <c r="F590" s="54">
        <f t="shared" si="12"/>
        <v>0</v>
      </c>
    </row>
    <row r="591" spans="3:6">
      <c r="C591" s="46"/>
      <c r="D591" s="46"/>
      <c r="E591" s="46"/>
      <c r="F591" s="54">
        <f t="shared" si="12"/>
        <v>0</v>
      </c>
    </row>
    <row r="592" spans="3:6">
      <c r="C592" s="46"/>
      <c r="D592" s="46"/>
      <c r="E592" s="46"/>
      <c r="F592" s="54">
        <f t="shared" si="12"/>
        <v>0</v>
      </c>
    </row>
    <row r="593" spans="3:6">
      <c r="C593" s="46"/>
      <c r="D593" s="46"/>
      <c r="E593" s="46"/>
      <c r="F593" s="54">
        <f t="shared" si="12"/>
        <v>0</v>
      </c>
    </row>
    <row r="594" spans="3:6">
      <c r="C594" s="46"/>
      <c r="D594" s="46"/>
      <c r="E594" s="46"/>
      <c r="F594" s="54">
        <f t="shared" si="12"/>
        <v>0</v>
      </c>
    </row>
    <row r="595" spans="3:6">
      <c r="C595" s="46"/>
      <c r="D595" s="46"/>
      <c r="E595" s="46"/>
      <c r="F595" s="54">
        <f t="shared" si="12"/>
        <v>0</v>
      </c>
    </row>
    <row r="596" spans="3:6">
      <c r="C596" s="46"/>
      <c r="D596" s="46"/>
      <c r="E596" s="46"/>
      <c r="F596" s="54">
        <f t="shared" si="12"/>
        <v>0</v>
      </c>
    </row>
    <row r="597" spans="3:6">
      <c r="C597" s="46"/>
      <c r="D597" s="46"/>
      <c r="E597" s="46"/>
      <c r="F597" s="54">
        <f t="shared" si="12"/>
        <v>0</v>
      </c>
    </row>
    <row r="598" spans="3:6">
      <c r="C598" s="46"/>
      <c r="D598" s="46"/>
      <c r="E598" s="46"/>
      <c r="F598" s="54">
        <f t="shared" si="12"/>
        <v>0</v>
      </c>
    </row>
    <row r="599" spans="3:6">
      <c r="C599" s="46"/>
      <c r="D599" s="46"/>
      <c r="E599" s="46"/>
      <c r="F599" s="54">
        <f t="shared" si="12"/>
        <v>0</v>
      </c>
    </row>
    <row r="600" spans="3:6">
      <c r="C600" s="46"/>
      <c r="D600" s="46"/>
      <c r="E600" s="46"/>
      <c r="F600" s="54">
        <f t="shared" si="12"/>
        <v>0</v>
      </c>
    </row>
    <row r="601" spans="3:6">
      <c r="C601" s="46"/>
      <c r="D601" s="46"/>
      <c r="E601" s="46"/>
      <c r="F601" s="54">
        <f t="shared" si="12"/>
        <v>0</v>
      </c>
    </row>
    <row r="602" spans="3:6">
      <c r="C602" s="46"/>
      <c r="D602" s="46"/>
      <c r="E602" s="46"/>
      <c r="F602" s="54">
        <f t="shared" si="12"/>
        <v>0</v>
      </c>
    </row>
    <row r="603" spans="3:6">
      <c r="C603" s="46"/>
      <c r="D603" s="46"/>
      <c r="E603" s="46"/>
      <c r="F603" s="54">
        <f t="shared" si="12"/>
        <v>0</v>
      </c>
    </row>
    <row r="604" spans="3:6">
      <c r="C604" s="46"/>
      <c r="D604" s="46"/>
      <c r="E604" s="46"/>
      <c r="F604" s="54">
        <f t="shared" si="12"/>
        <v>0</v>
      </c>
    </row>
    <row r="605" spans="3:6">
      <c r="C605" s="46"/>
      <c r="D605" s="46"/>
      <c r="E605" s="46"/>
      <c r="F605" s="54">
        <f t="shared" si="12"/>
        <v>0</v>
      </c>
    </row>
    <row r="606" spans="3:6">
      <c r="C606" s="46"/>
      <c r="D606" s="46"/>
      <c r="E606" s="46"/>
      <c r="F606" s="54">
        <f t="shared" si="12"/>
        <v>0</v>
      </c>
    </row>
    <row r="607" spans="3:6">
      <c r="C607" s="46"/>
      <c r="D607" s="46"/>
      <c r="E607" s="46"/>
      <c r="F607" s="54">
        <f t="shared" si="12"/>
        <v>0</v>
      </c>
    </row>
    <row r="608" spans="3:6">
      <c r="C608" s="46"/>
      <c r="D608" s="46"/>
      <c r="E608" s="46"/>
      <c r="F608" s="54">
        <f t="shared" si="12"/>
        <v>0</v>
      </c>
    </row>
    <row r="609" spans="3:6">
      <c r="C609" s="46"/>
      <c r="D609" s="46"/>
      <c r="E609" s="46"/>
      <c r="F609" s="54">
        <f t="shared" si="12"/>
        <v>0</v>
      </c>
    </row>
    <row r="610" spans="3:6">
      <c r="C610" s="46"/>
      <c r="D610" s="46"/>
      <c r="E610" s="46"/>
      <c r="F610" s="54">
        <f t="shared" si="12"/>
        <v>0</v>
      </c>
    </row>
    <row r="611" spans="3:6">
      <c r="C611" s="46"/>
      <c r="D611" s="46"/>
      <c r="E611" s="46"/>
      <c r="F611" s="54">
        <f t="shared" si="12"/>
        <v>0</v>
      </c>
    </row>
    <row r="612" spans="3:6">
      <c r="C612" s="46"/>
      <c r="D612" s="46"/>
      <c r="E612" s="46"/>
      <c r="F612" s="54">
        <f t="shared" si="12"/>
        <v>0</v>
      </c>
    </row>
    <row r="613" spans="3:6">
      <c r="C613" s="46"/>
      <c r="D613" s="46"/>
      <c r="E613" s="46"/>
      <c r="F613" s="54">
        <f t="shared" si="12"/>
        <v>0</v>
      </c>
    </row>
    <row r="614" spans="3:6">
      <c r="C614" s="46"/>
      <c r="D614" s="46"/>
      <c r="E614" s="46"/>
      <c r="F614" s="54">
        <f t="shared" si="12"/>
        <v>0</v>
      </c>
    </row>
    <row r="615" spans="3:6">
      <c r="C615" s="46"/>
      <c r="D615" s="46"/>
      <c r="E615" s="46"/>
      <c r="F615" s="54">
        <f t="shared" si="12"/>
        <v>0</v>
      </c>
    </row>
    <row r="616" spans="3:6">
      <c r="C616" s="46"/>
      <c r="D616" s="46"/>
      <c r="E616" s="46"/>
      <c r="F616" s="54">
        <f t="shared" si="12"/>
        <v>0</v>
      </c>
    </row>
    <row r="617" spans="3:6">
      <c r="C617" s="46"/>
      <c r="D617" s="46"/>
      <c r="E617" s="46"/>
      <c r="F617" s="54">
        <f t="shared" si="12"/>
        <v>0</v>
      </c>
    </row>
    <row r="618" spans="3:6">
      <c r="C618" s="46"/>
      <c r="D618" s="46"/>
      <c r="E618" s="46"/>
      <c r="F618" s="54">
        <f t="shared" si="12"/>
        <v>0</v>
      </c>
    </row>
    <row r="619" spans="3:6">
      <c r="C619" s="46"/>
      <c r="D619" s="46"/>
      <c r="E619" s="46"/>
      <c r="F619" s="54">
        <f t="shared" si="12"/>
        <v>0</v>
      </c>
    </row>
    <row r="620" spans="3:6">
      <c r="C620" s="46"/>
      <c r="D620" s="46"/>
      <c r="E620" s="46"/>
      <c r="F620" s="54">
        <f t="shared" si="12"/>
        <v>0</v>
      </c>
    </row>
    <row r="621" spans="3:6">
      <c r="C621" s="46"/>
      <c r="D621" s="46"/>
      <c r="E621" s="46"/>
      <c r="F621" s="54">
        <f t="shared" si="12"/>
        <v>0</v>
      </c>
    </row>
    <row r="622" spans="3:6">
      <c r="C622" s="46"/>
      <c r="D622" s="46"/>
      <c r="E622" s="46"/>
      <c r="F622" s="54">
        <f t="shared" si="12"/>
        <v>0</v>
      </c>
    </row>
    <row r="623" spans="3:6">
      <c r="C623" s="46"/>
      <c r="D623" s="46"/>
      <c r="E623" s="46"/>
      <c r="F623" s="54">
        <f t="shared" si="12"/>
        <v>0</v>
      </c>
    </row>
    <row r="624" spans="3:6">
      <c r="C624" s="46"/>
      <c r="D624" s="46"/>
      <c r="E624" s="46"/>
      <c r="F624" s="54">
        <f t="shared" si="12"/>
        <v>0</v>
      </c>
    </row>
    <row r="625" spans="3:6">
      <c r="C625" s="46"/>
      <c r="D625" s="46"/>
      <c r="E625" s="46"/>
      <c r="F625" s="54">
        <f t="shared" si="12"/>
        <v>0</v>
      </c>
    </row>
    <row r="626" spans="3:6">
      <c r="C626" s="46"/>
      <c r="D626" s="46"/>
      <c r="E626" s="46"/>
      <c r="F626" s="54">
        <f t="shared" si="12"/>
        <v>0</v>
      </c>
    </row>
    <row r="627" spans="3:6">
      <c r="C627" s="46"/>
      <c r="D627" s="46"/>
      <c r="E627" s="46"/>
      <c r="F627" s="54">
        <f t="shared" si="12"/>
        <v>0</v>
      </c>
    </row>
    <row r="628" spans="3:6">
      <c r="C628" s="46"/>
      <c r="D628" s="46"/>
      <c r="E628" s="46"/>
      <c r="F628" s="54">
        <f t="shared" si="12"/>
        <v>0</v>
      </c>
    </row>
    <row r="629" spans="3:6">
      <c r="C629" s="46"/>
      <c r="D629" s="46"/>
      <c r="E629" s="46"/>
      <c r="F629" s="54">
        <f t="shared" si="12"/>
        <v>0</v>
      </c>
    </row>
    <row r="630" spans="3:6">
      <c r="C630" s="46"/>
      <c r="D630" s="46"/>
      <c r="E630" s="46"/>
      <c r="F630" s="54">
        <f t="shared" si="12"/>
        <v>0</v>
      </c>
    </row>
    <row r="631" spans="3:6">
      <c r="C631" s="46"/>
      <c r="D631" s="46"/>
      <c r="E631" s="46"/>
      <c r="F631" s="54">
        <f t="shared" si="12"/>
        <v>0</v>
      </c>
    </row>
    <row r="632" spans="3:6">
      <c r="C632" s="46"/>
      <c r="D632" s="46"/>
      <c r="E632" s="46"/>
      <c r="F632" s="54">
        <f t="shared" si="12"/>
        <v>0</v>
      </c>
    </row>
    <row r="633" spans="3:6">
      <c r="C633" s="46"/>
      <c r="D633" s="46"/>
      <c r="E633" s="46"/>
      <c r="F633" s="54">
        <f t="shared" si="12"/>
        <v>0</v>
      </c>
    </row>
    <row r="634" spans="3:6">
      <c r="C634" s="46"/>
      <c r="D634" s="46"/>
      <c r="E634" s="46"/>
      <c r="F634" s="54">
        <f t="shared" si="12"/>
        <v>0</v>
      </c>
    </row>
    <row r="635" spans="3:6">
      <c r="C635" s="46"/>
      <c r="D635" s="46"/>
      <c r="E635" s="46"/>
      <c r="F635" s="54">
        <f t="shared" si="12"/>
        <v>0</v>
      </c>
    </row>
    <row r="636" spans="3:6">
      <c r="C636" s="46"/>
      <c r="D636" s="46"/>
      <c r="E636" s="46"/>
      <c r="F636" s="54">
        <f t="shared" si="12"/>
        <v>0</v>
      </c>
    </row>
    <row r="637" spans="3:6">
      <c r="C637" s="46"/>
      <c r="D637" s="46"/>
      <c r="E637" s="46"/>
      <c r="F637" s="54">
        <f t="shared" si="12"/>
        <v>0</v>
      </c>
    </row>
    <row r="638" spans="3:6">
      <c r="C638" s="46"/>
      <c r="D638" s="46"/>
      <c r="E638" s="46"/>
      <c r="F638" s="54">
        <f t="shared" si="12"/>
        <v>0</v>
      </c>
    </row>
    <row r="639" spans="3:6">
      <c r="C639" s="46"/>
      <c r="D639" s="46"/>
      <c r="E639" s="46"/>
      <c r="F639" s="54">
        <f t="shared" si="12"/>
        <v>0</v>
      </c>
    </row>
    <row r="640" spans="3:6">
      <c r="C640" s="46"/>
      <c r="D640" s="46"/>
      <c r="E640" s="46"/>
      <c r="F640" s="54">
        <f t="shared" si="12"/>
        <v>0</v>
      </c>
    </row>
    <row r="641" spans="3:6">
      <c r="C641" s="46"/>
      <c r="D641" s="46"/>
      <c r="E641" s="46"/>
      <c r="F641" s="54">
        <f t="shared" si="12"/>
        <v>0</v>
      </c>
    </row>
    <row r="642" spans="3:6">
      <c r="C642" s="46"/>
      <c r="D642" s="46"/>
      <c r="E642" s="46"/>
      <c r="F642" s="54">
        <f t="shared" si="12"/>
        <v>0</v>
      </c>
    </row>
    <row r="643" spans="3:6">
      <c r="C643" s="46"/>
      <c r="D643" s="46"/>
      <c r="E643" s="46"/>
      <c r="F643" s="54">
        <f t="shared" ref="F643:F706" si="13">E643*E643/(4*PI()*10000)</f>
        <v>0</v>
      </c>
    </row>
    <row r="644" spans="3:6">
      <c r="C644" s="46"/>
      <c r="D644" s="46"/>
      <c r="E644" s="46"/>
      <c r="F644" s="54">
        <f t="shared" si="13"/>
        <v>0</v>
      </c>
    </row>
    <row r="645" spans="3:6">
      <c r="C645" s="46"/>
      <c r="D645" s="46"/>
      <c r="E645" s="46"/>
      <c r="F645" s="54">
        <f t="shared" si="13"/>
        <v>0</v>
      </c>
    </row>
    <row r="646" spans="3:6">
      <c r="C646" s="46"/>
      <c r="D646" s="46"/>
      <c r="E646" s="46"/>
      <c r="F646" s="54">
        <f t="shared" si="13"/>
        <v>0</v>
      </c>
    </row>
    <row r="647" spans="3:6">
      <c r="C647" s="46"/>
      <c r="D647" s="46"/>
      <c r="E647" s="46"/>
      <c r="F647" s="54">
        <f t="shared" si="13"/>
        <v>0</v>
      </c>
    </row>
    <row r="648" spans="3:6">
      <c r="C648" s="46"/>
      <c r="D648" s="46"/>
      <c r="E648" s="46"/>
      <c r="F648" s="54">
        <f t="shared" si="13"/>
        <v>0</v>
      </c>
    </row>
    <row r="649" spans="3:6">
      <c r="C649" s="46"/>
      <c r="D649" s="46"/>
      <c r="E649" s="46"/>
      <c r="F649" s="54">
        <f t="shared" si="13"/>
        <v>0</v>
      </c>
    </row>
    <row r="650" spans="3:6">
      <c r="C650" s="46"/>
      <c r="D650" s="46"/>
      <c r="E650" s="46"/>
      <c r="F650" s="54">
        <f t="shared" si="13"/>
        <v>0</v>
      </c>
    </row>
    <row r="651" spans="3:6">
      <c r="C651" s="46"/>
      <c r="D651" s="46"/>
      <c r="E651" s="46"/>
      <c r="F651" s="54">
        <f t="shared" si="13"/>
        <v>0</v>
      </c>
    </row>
    <row r="652" spans="3:6">
      <c r="C652" s="46"/>
      <c r="D652" s="46"/>
      <c r="E652" s="46"/>
      <c r="F652" s="54">
        <f t="shared" si="13"/>
        <v>0</v>
      </c>
    </row>
    <row r="653" spans="3:6">
      <c r="C653" s="46"/>
      <c r="D653" s="46"/>
      <c r="E653" s="46"/>
      <c r="F653" s="54">
        <f t="shared" si="13"/>
        <v>0</v>
      </c>
    </row>
    <row r="654" spans="3:6">
      <c r="C654" s="46"/>
      <c r="D654" s="46"/>
      <c r="E654" s="46"/>
      <c r="F654" s="54">
        <f t="shared" si="13"/>
        <v>0</v>
      </c>
    </row>
    <row r="655" spans="3:6">
      <c r="C655" s="46"/>
      <c r="D655" s="46"/>
      <c r="E655" s="46"/>
      <c r="F655" s="54">
        <f t="shared" si="13"/>
        <v>0</v>
      </c>
    </row>
    <row r="656" spans="3:6">
      <c r="C656" s="46"/>
      <c r="D656" s="46"/>
      <c r="E656" s="46"/>
      <c r="F656" s="54">
        <f t="shared" si="13"/>
        <v>0</v>
      </c>
    </row>
    <row r="657" spans="3:6">
      <c r="C657" s="46"/>
      <c r="D657" s="46"/>
      <c r="E657" s="46"/>
      <c r="F657" s="54">
        <f t="shared" si="13"/>
        <v>0</v>
      </c>
    </row>
    <row r="658" spans="3:6">
      <c r="C658" s="46"/>
      <c r="D658" s="46"/>
      <c r="E658" s="46"/>
      <c r="F658" s="54">
        <f t="shared" si="13"/>
        <v>0</v>
      </c>
    </row>
    <row r="659" spans="3:6">
      <c r="C659" s="46"/>
      <c r="D659" s="46"/>
      <c r="E659" s="46"/>
      <c r="F659" s="54">
        <f t="shared" si="13"/>
        <v>0</v>
      </c>
    </row>
    <row r="660" spans="3:6">
      <c r="C660" s="46"/>
      <c r="D660" s="46"/>
      <c r="E660" s="46"/>
      <c r="F660" s="54">
        <f t="shared" si="13"/>
        <v>0</v>
      </c>
    </row>
    <row r="661" spans="3:6">
      <c r="C661" s="46"/>
      <c r="D661" s="46"/>
      <c r="E661" s="46"/>
      <c r="F661" s="54">
        <f t="shared" si="13"/>
        <v>0</v>
      </c>
    </row>
    <row r="662" spans="3:6">
      <c r="C662" s="46"/>
      <c r="D662" s="46"/>
      <c r="E662" s="46"/>
      <c r="F662" s="54">
        <f t="shared" si="13"/>
        <v>0</v>
      </c>
    </row>
    <row r="663" spans="3:6">
      <c r="C663" s="46"/>
      <c r="D663" s="46"/>
      <c r="E663" s="46"/>
      <c r="F663" s="54">
        <f t="shared" si="13"/>
        <v>0</v>
      </c>
    </row>
    <row r="664" spans="3:6">
      <c r="C664" s="46"/>
      <c r="D664" s="46"/>
      <c r="E664" s="46"/>
      <c r="F664" s="54">
        <f t="shared" si="13"/>
        <v>0</v>
      </c>
    </row>
    <row r="665" spans="3:6">
      <c r="C665" s="46"/>
      <c r="D665" s="46"/>
      <c r="E665" s="46"/>
      <c r="F665" s="54">
        <f t="shared" si="13"/>
        <v>0</v>
      </c>
    </row>
    <row r="666" spans="3:6">
      <c r="C666" s="46"/>
      <c r="D666" s="46"/>
      <c r="E666" s="46"/>
      <c r="F666" s="54">
        <f t="shared" si="13"/>
        <v>0</v>
      </c>
    </row>
    <row r="667" spans="3:6">
      <c r="C667" s="46"/>
      <c r="D667" s="46"/>
      <c r="E667" s="46"/>
      <c r="F667" s="54">
        <f t="shared" si="13"/>
        <v>0</v>
      </c>
    </row>
    <row r="668" spans="3:6">
      <c r="C668" s="46"/>
      <c r="D668" s="46"/>
      <c r="E668" s="46"/>
      <c r="F668" s="54">
        <f t="shared" si="13"/>
        <v>0</v>
      </c>
    </row>
    <row r="669" spans="3:6">
      <c r="C669" s="46"/>
      <c r="D669" s="46"/>
      <c r="E669" s="46"/>
      <c r="F669" s="54">
        <f t="shared" si="13"/>
        <v>0</v>
      </c>
    </row>
    <row r="670" spans="3:6">
      <c r="C670" s="46"/>
      <c r="D670" s="46"/>
      <c r="E670" s="46"/>
      <c r="F670" s="54">
        <f t="shared" si="13"/>
        <v>0</v>
      </c>
    </row>
    <row r="671" spans="3:6">
      <c r="C671" s="46"/>
      <c r="D671" s="46"/>
      <c r="E671" s="46"/>
      <c r="F671" s="54">
        <f t="shared" si="13"/>
        <v>0</v>
      </c>
    </row>
    <row r="672" spans="3:6">
      <c r="C672" s="46"/>
      <c r="D672" s="46"/>
      <c r="E672" s="46"/>
      <c r="F672" s="54">
        <f t="shared" si="13"/>
        <v>0</v>
      </c>
    </row>
    <row r="673" spans="3:6">
      <c r="C673" s="46"/>
      <c r="D673" s="46"/>
      <c r="E673" s="46"/>
      <c r="F673" s="54">
        <f t="shared" si="13"/>
        <v>0</v>
      </c>
    </row>
    <row r="674" spans="3:6">
      <c r="C674" s="46"/>
      <c r="D674" s="46"/>
      <c r="E674" s="46"/>
      <c r="F674" s="54">
        <f t="shared" si="13"/>
        <v>0</v>
      </c>
    </row>
    <row r="675" spans="3:6">
      <c r="C675" s="46"/>
      <c r="D675" s="46"/>
      <c r="E675" s="46"/>
      <c r="F675" s="54">
        <f t="shared" si="13"/>
        <v>0</v>
      </c>
    </row>
    <row r="676" spans="3:6">
      <c r="C676" s="46"/>
      <c r="D676" s="46"/>
      <c r="E676" s="46"/>
      <c r="F676" s="54">
        <f t="shared" si="13"/>
        <v>0</v>
      </c>
    </row>
    <row r="677" spans="3:6">
      <c r="C677" s="46"/>
      <c r="D677" s="46"/>
      <c r="E677" s="46"/>
      <c r="F677" s="54">
        <f t="shared" si="13"/>
        <v>0</v>
      </c>
    </row>
    <row r="678" spans="3:6">
      <c r="C678" s="46"/>
      <c r="D678" s="46"/>
      <c r="E678" s="46"/>
      <c r="F678" s="54">
        <f t="shared" si="13"/>
        <v>0</v>
      </c>
    </row>
    <row r="679" spans="3:6">
      <c r="C679" s="46"/>
      <c r="D679" s="46"/>
      <c r="E679" s="46"/>
      <c r="F679" s="54">
        <f t="shared" si="13"/>
        <v>0</v>
      </c>
    </row>
    <row r="680" spans="3:6">
      <c r="C680" s="46"/>
      <c r="D680" s="46"/>
      <c r="E680" s="46"/>
      <c r="F680" s="54">
        <f t="shared" si="13"/>
        <v>0</v>
      </c>
    </row>
    <row r="681" spans="3:6">
      <c r="C681" s="46"/>
      <c r="D681" s="46"/>
      <c r="E681" s="46"/>
      <c r="F681" s="54">
        <f t="shared" si="13"/>
        <v>0</v>
      </c>
    </row>
    <row r="682" spans="3:6">
      <c r="C682" s="46"/>
      <c r="D682" s="46"/>
      <c r="E682" s="46"/>
      <c r="F682" s="54">
        <f t="shared" si="13"/>
        <v>0</v>
      </c>
    </row>
    <row r="683" spans="3:6">
      <c r="C683" s="46"/>
      <c r="D683" s="46"/>
      <c r="E683" s="46"/>
      <c r="F683" s="54">
        <f t="shared" si="13"/>
        <v>0</v>
      </c>
    </row>
    <row r="684" spans="3:6">
      <c r="C684" s="46"/>
      <c r="D684" s="46"/>
      <c r="E684" s="46"/>
      <c r="F684" s="54">
        <f t="shared" si="13"/>
        <v>0</v>
      </c>
    </row>
    <row r="685" spans="3:6">
      <c r="C685" s="46"/>
      <c r="D685" s="46"/>
      <c r="E685" s="46"/>
      <c r="F685" s="54">
        <f t="shared" si="13"/>
        <v>0</v>
      </c>
    </row>
    <row r="686" spans="3:6">
      <c r="C686" s="46"/>
      <c r="D686" s="46"/>
      <c r="E686" s="46"/>
      <c r="F686" s="54">
        <f t="shared" si="13"/>
        <v>0</v>
      </c>
    </row>
    <row r="687" spans="3:6">
      <c r="C687" s="46"/>
      <c r="D687" s="46"/>
      <c r="E687" s="46"/>
      <c r="F687" s="54">
        <f t="shared" si="13"/>
        <v>0</v>
      </c>
    </row>
    <row r="688" spans="3:6">
      <c r="C688" s="46"/>
      <c r="D688" s="46"/>
      <c r="E688" s="46"/>
      <c r="F688" s="54">
        <f t="shared" si="13"/>
        <v>0</v>
      </c>
    </row>
    <row r="689" spans="3:6">
      <c r="C689" s="46"/>
      <c r="D689" s="46"/>
      <c r="E689" s="46"/>
      <c r="F689" s="54">
        <f t="shared" si="13"/>
        <v>0</v>
      </c>
    </row>
    <row r="690" spans="3:6">
      <c r="C690" s="46"/>
      <c r="D690" s="46"/>
      <c r="E690" s="46"/>
      <c r="F690" s="54">
        <f t="shared" si="13"/>
        <v>0</v>
      </c>
    </row>
    <row r="691" spans="3:6">
      <c r="C691" s="46"/>
      <c r="D691" s="46"/>
      <c r="E691" s="46"/>
      <c r="F691" s="54">
        <f t="shared" si="13"/>
        <v>0</v>
      </c>
    </row>
    <row r="692" spans="3:6">
      <c r="C692" s="46"/>
      <c r="D692" s="46"/>
      <c r="E692" s="46"/>
      <c r="F692" s="54">
        <f t="shared" si="13"/>
        <v>0</v>
      </c>
    </row>
    <row r="693" spans="3:6">
      <c r="C693" s="46"/>
      <c r="D693" s="46"/>
      <c r="E693" s="46"/>
      <c r="F693" s="54">
        <f t="shared" si="13"/>
        <v>0</v>
      </c>
    </row>
    <row r="694" spans="3:6">
      <c r="C694" s="46"/>
      <c r="D694" s="46"/>
      <c r="E694" s="46"/>
      <c r="F694" s="54">
        <f t="shared" si="13"/>
        <v>0</v>
      </c>
    </row>
    <row r="695" spans="3:6">
      <c r="C695" s="46"/>
      <c r="D695" s="46"/>
      <c r="E695" s="46"/>
      <c r="F695" s="54">
        <f t="shared" si="13"/>
        <v>0</v>
      </c>
    </row>
    <row r="696" spans="3:6">
      <c r="C696" s="46"/>
      <c r="D696" s="46"/>
      <c r="E696" s="46"/>
      <c r="F696" s="54">
        <f t="shared" si="13"/>
        <v>0</v>
      </c>
    </row>
    <row r="697" spans="3:6">
      <c r="C697" s="46"/>
      <c r="D697" s="46"/>
      <c r="E697" s="46"/>
      <c r="F697" s="54">
        <f t="shared" si="13"/>
        <v>0</v>
      </c>
    </row>
    <row r="698" spans="3:6">
      <c r="C698" s="46"/>
      <c r="D698" s="46"/>
      <c r="E698" s="46"/>
      <c r="F698" s="54">
        <f t="shared" si="13"/>
        <v>0</v>
      </c>
    </row>
    <row r="699" spans="3:6">
      <c r="C699" s="46"/>
      <c r="D699" s="46"/>
      <c r="E699" s="46"/>
      <c r="F699" s="54">
        <f t="shared" si="13"/>
        <v>0</v>
      </c>
    </row>
    <row r="700" spans="3:6">
      <c r="C700" s="46"/>
      <c r="D700" s="46"/>
      <c r="E700" s="46"/>
      <c r="F700" s="54">
        <f t="shared" si="13"/>
        <v>0</v>
      </c>
    </row>
    <row r="701" spans="3:6">
      <c r="C701" s="46"/>
      <c r="D701" s="46"/>
      <c r="E701" s="46"/>
      <c r="F701" s="54">
        <f t="shared" si="13"/>
        <v>0</v>
      </c>
    </row>
    <row r="702" spans="3:6">
      <c r="C702" s="46"/>
      <c r="D702" s="46"/>
      <c r="E702" s="46"/>
      <c r="F702" s="54">
        <f t="shared" si="13"/>
        <v>0</v>
      </c>
    </row>
    <row r="703" spans="3:6">
      <c r="C703" s="46"/>
      <c r="D703" s="46"/>
      <c r="E703" s="46"/>
      <c r="F703" s="54">
        <f t="shared" si="13"/>
        <v>0</v>
      </c>
    </row>
    <row r="704" spans="3:6">
      <c r="C704" s="46"/>
      <c r="D704" s="46"/>
      <c r="E704" s="46"/>
      <c r="F704" s="54">
        <f t="shared" si="13"/>
        <v>0</v>
      </c>
    </row>
    <row r="705" spans="3:6">
      <c r="C705" s="46"/>
      <c r="D705" s="46"/>
      <c r="E705" s="46"/>
      <c r="F705" s="54">
        <f t="shared" si="13"/>
        <v>0</v>
      </c>
    </row>
    <row r="706" spans="3:6">
      <c r="C706" s="46"/>
      <c r="D706" s="46"/>
      <c r="E706" s="46"/>
      <c r="F706" s="54">
        <f t="shared" si="13"/>
        <v>0</v>
      </c>
    </row>
    <row r="707" spans="3:6">
      <c r="C707" s="46"/>
      <c r="D707" s="46"/>
      <c r="E707" s="46"/>
      <c r="F707" s="54">
        <f t="shared" ref="F707:F770" si="14">E707*E707/(4*PI()*10000)</f>
        <v>0</v>
      </c>
    </row>
    <row r="708" spans="3:6">
      <c r="C708" s="46"/>
      <c r="D708" s="46"/>
      <c r="E708" s="46"/>
      <c r="F708" s="54">
        <f t="shared" si="14"/>
        <v>0</v>
      </c>
    </row>
    <row r="709" spans="3:6">
      <c r="C709" s="46"/>
      <c r="D709" s="46"/>
      <c r="E709" s="46"/>
      <c r="F709" s="54">
        <f t="shared" si="14"/>
        <v>0</v>
      </c>
    </row>
    <row r="710" spans="3:6">
      <c r="C710" s="46"/>
      <c r="D710" s="46"/>
      <c r="E710" s="46"/>
      <c r="F710" s="54">
        <f t="shared" si="14"/>
        <v>0</v>
      </c>
    </row>
    <row r="711" spans="3:6">
      <c r="C711" s="46"/>
      <c r="D711" s="46"/>
      <c r="E711" s="46"/>
      <c r="F711" s="54">
        <f t="shared" si="14"/>
        <v>0</v>
      </c>
    </row>
    <row r="712" spans="3:6">
      <c r="C712" s="46"/>
      <c r="D712" s="46"/>
      <c r="E712" s="46"/>
      <c r="F712" s="54">
        <f t="shared" si="14"/>
        <v>0</v>
      </c>
    </row>
    <row r="713" spans="3:6">
      <c r="C713" s="46"/>
      <c r="D713" s="46"/>
      <c r="E713" s="46"/>
      <c r="F713" s="54">
        <f t="shared" si="14"/>
        <v>0</v>
      </c>
    </row>
    <row r="714" spans="3:6">
      <c r="C714" s="46"/>
      <c r="D714" s="46"/>
      <c r="E714" s="46"/>
      <c r="F714" s="54">
        <f t="shared" si="14"/>
        <v>0</v>
      </c>
    </row>
    <row r="715" spans="3:6">
      <c r="C715" s="46"/>
      <c r="D715" s="46"/>
      <c r="E715" s="46"/>
      <c r="F715" s="54">
        <f t="shared" si="14"/>
        <v>0</v>
      </c>
    </row>
    <row r="716" spans="3:6">
      <c r="C716" s="46"/>
      <c r="D716" s="46"/>
      <c r="E716" s="46"/>
      <c r="F716" s="54">
        <f t="shared" si="14"/>
        <v>0</v>
      </c>
    </row>
    <row r="717" spans="3:6">
      <c r="C717" s="46"/>
      <c r="D717" s="46"/>
      <c r="E717" s="46"/>
      <c r="F717" s="54">
        <f t="shared" si="14"/>
        <v>0</v>
      </c>
    </row>
    <row r="718" spans="3:6">
      <c r="C718" s="46"/>
      <c r="D718" s="46"/>
      <c r="E718" s="46"/>
      <c r="F718" s="54">
        <f t="shared" si="14"/>
        <v>0</v>
      </c>
    </row>
    <row r="719" spans="3:6">
      <c r="C719" s="46"/>
      <c r="D719" s="46"/>
      <c r="E719" s="46"/>
      <c r="F719" s="54">
        <f t="shared" si="14"/>
        <v>0</v>
      </c>
    </row>
    <row r="720" spans="3:6">
      <c r="C720" s="46"/>
      <c r="D720" s="46"/>
      <c r="E720" s="46"/>
      <c r="F720" s="54">
        <f t="shared" si="14"/>
        <v>0</v>
      </c>
    </row>
    <row r="721" spans="3:6">
      <c r="C721" s="46"/>
      <c r="D721" s="46"/>
      <c r="E721" s="46"/>
      <c r="F721" s="54">
        <f t="shared" si="14"/>
        <v>0</v>
      </c>
    </row>
    <row r="722" spans="3:6">
      <c r="C722" s="46"/>
      <c r="D722" s="46"/>
      <c r="E722" s="46"/>
      <c r="F722" s="54">
        <f t="shared" si="14"/>
        <v>0</v>
      </c>
    </row>
    <row r="723" spans="3:6">
      <c r="C723" s="46"/>
      <c r="D723" s="46"/>
      <c r="E723" s="46"/>
      <c r="F723" s="54">
        <f t="shared" si="14"/>
        <v>0</v>
      </c>
    </row>
    <row r="724" spans="3:6">
      <c r="C724" s="46"/>
      <c r="D724" s="46"/>
      <c r="E724" s="46"/>
      <c r="F724" s="54">
        <f t="shared" si="14"/>
        <v>0</v>
      </c>
    </row>
    <row r="725" spans="3:6">
      <c r="C725" s="46"/>
      <c r="D725" s="46"/>
      <c r="E725" s="46"/>
      <c r="F725" s="54">
        <f t="shared" si="14"/>
        <v>0</v>
      </c>
    </row>
    <row r="726" spans="3:6">
      <c r="C726" s="46"/>
      <c r="D726" s="46"/>
      <c r="E726" s="46"/>
      <c r="F726" s="54">
        <f t="shared" si="14"/>
        <v>0</v>
      </c>
    </row>
    <row r="727" spans="3:6">
      <c r="C727" s="46"/>
      <c r="D727" s="46"/>
      <c r="E727" s="46"/>
      <c r="F727" s="54">
        <f t="shared" si="14"/>
        <v>0</v>
      </c>
    </row>
    <row r="728" spans="3:6">
      <c r="C728" s="46"/>
      <c r="D728" s="46"/>
      <c r="E728" s="46"/>
      <c r="F728" s="54">
        <f t="shared" si="14"/>
        <v>0</v>
      </c>
    </row>
    <row r="729" spans="3:6">
      <c r="C729" s="46"/>
      <c r="D729" s="46"/>
      <c r="E729" s="46"/>
      <c r="F729" s="54">
        <f t="shared" si="14"/>
        <v>0</v>
      </c>
    </row>
    <row r="730" spans="3:6">
      <c r="C730" s="46"/>
      <c r="D730" s="46"/>
      <c r="E730" s="46"/>
      <c r="F730" s="54">
        <f t="shared" si="14"/>
        <v>0</v>
      </c>
    </row>
    <row r="731" spans="3:6">
      <c r="C731" s="46"/>
      <c r="D731" s="46"/>
      <c r="E731" s="46"/>
      <c r="F731" s="54">
        <f t="shared" si="14"/>
        <v>0</v>
      </c>
    </row>
    <row r="732" spans="3:6">
      <c r="C732" s="46"/>
      <c r="D732" s="46"/>
      <c r="E732" s="46"/>
      <c r="F732" s="54">
        <f t="shared" si="14"/>
        <v>0</v>
      </c>
    </row>
    <row r="733" spans="3:6">
      <c r="C733" s="46"/>
      <c r="D733" s="46"/>
      <c r="E733" s="46"/>
      <c r="F733" s="54">
        <f t="shared" si="14"/>
        <v>0</v>
      </c>
    </row>
    <row r="734" spans="3:6">
      <c r="C734" s="46"/>
      <c r="D734" s="46"/>
      <c r="E734" s="46"/>
      <c r="F734" s="54">
        <f t="shared" si="14"/>
        <v>0</v>
      </c>
    </row>
    <row r="735" spans="3:6">
      <c r="C735" s="46"/>
      <c r="D735" s="46"/>
      <c r="E735" s="46"/>
      <c r="F735" s="54">
        <f t="shared" si="14"/>
        <v>0</v>
      </c>
    </row>
    <row r="736" spans="3:6">
      <c r="C736" s="46"/>
      <c r="D736" s="46"/>
      <c r="E736" s="46"/>
      <c r="F736" s="54">
        <f t="shared" si="14"/>
        <v>0</v>
      </c>
    </row>
    <row r="737" spans="3:6">
      <c r="C737" s="46"/>
      <c r="D737" s="46"/>
      <c r="E737" s="46"/>
      <c r="F737" s="54">
        <f t="shared" si="14"/>
        <v>0</v>
      </c>
    </row>
    <row r="738" spans="3:6">
      <c r="C738" s="46"/>
      <c r="D738" s="46"/>
      <c r="E738" s="46"/>
      <c r="F738" s="54">
        <f t="shared" si="14"/>
        <v>0</v>
      </c>
    </row>
    <row r="739" spans="3:6">
      <c r="C739" s="46"/>
      <c r="D739" s="46"/>
      <c r="E739" s="46"/>
      <c r="F739" s="54">
        <f t="shared" si="14"/>
        <v>0</v>
      </c>
    </row>
    <row r="740" spans="3:6">
      <c r="C740" s="46"/>
      <c r="D740" s="46"/>
      <c r="E740" s="46"/>
      <c r="F740" s="54">
        <f t="shared" si="14"/>
        <v>0</v>
      </c>
    </row>
    <row r="741" spans="3:6">
      <c r="C741" s="46"/>
      <c r="D741" s="46"/>
      <c r="E741" s="46"/>
      <c r="F741" s="54">
        <f t="shared" si="14"/>
        <v>0</v>
      </c>
    </row>
    <row r="742" spans="3:6">
      <c r="C742" s="46"/>
      <c r="D742" s="46"/>
      <c r="E742" s="46"/>
      <c r="F742" s="54">
        <f t="shared" si="14"/>
        <v>0</v>
      </c>
    </row>
    <row r="743" spans="3:6">
      <c r="C743" s="46"/>
      <c r="D743" s="46"/>
      <c r="E743" s="46"/>
      <c r="F743" s="54">
        <f t="shared" si="14"/>
        <v>0</v>
      </c>
    </row>
    <row r="744" spans="3:6">
      <c r="C744" s="46"/>
      <c r="D744" s="46"/>
      <c r="E744" s="46"/>
      <c r="F744" s="54">
        <f t="shared" si="14"/>
        <v>0</v>
      </c>
    </row>
    <row r="745" spans="3:6">
      <c r="C745" s="46"/>
      <c r="D745" s="46"/>
      <c r="E745" s="46"/>
      <c r="F745" s="54">
        <f t="shared" si="14"/>
        <v>0</v>
      </c>
    </row>
    <row r="746" spans="3:6">
      <c r="C746" s="46"/>
      <c r="D746" s="46"/>
      <c r="E746" s="46"/>
      <c r="F746" s="54">
        <f t="shared" si="14"/>
        <v>0</v>
      </c>
    </row>
    <row r="747" spans="3:6">
      <c r="C747" s="46"/>
      <c r="D747" s="46"/>
      <c r="E747" s="46"/>
      <c r="F747" s="54">
        <f t="shared" si="14"/>
        <v>0</v>
      </c>
    </row>
    <row r="748" spans="3:6">
      <c r="C748" s="46"/>
      <c r="D748" s="46"/>
      <c r="E748" s="46"/>
      <c r="F748" s="54">
        <f t="shared" si="14"/>
        <v>0</v>
      </c>
    </row>
    <row r="749" spans="3:6">
      <c r="C749" s="46"/>
      <c r="D749" s="46"/>
      <c r="E749" s="46"/>
      <c r="F749" s="54">
        <f t="shared" si="14"/>
        <v>0</v>
      </c>
    </row>
    <row r="750" spans="3:6">
      <c r="C750" s="46"/>
      <c r="D750" s="46"/>
      <c r="E750" s="46"/>
      <c r="F750" s="54">
        <f t="shared" si="14"/>
        <v>0</v>
      </c>
    </row>
    <row r="751" spans="3:6">
      <c r="C751" s="46"/>
      <c r="D751" s="46"/>
      <c r="E751" s="46"/>
      <c r="F751" s="54">
        <f t="shared" si="14"/>
        <v>0</v>
      </c>
    </row>
    <row r="752" spans="3:6">
      <c r="C752" s="46"/>
      <c r="D752" s="46"/>
      <c r="E752" s="46"/>
      <c r="F752" s="54">
        <f t="shared" si="14"/>
        <v>0</v>
      </c>
    </row>
    <row r="753" spans="3:6">
      <c r="C753" s="46"/>
      <c r="D753" s="46"/>
      <c r="E753" s="46"/>
      <c r="F753" s="54">
        <f t="shared" si="14"/>
        <v>0</v>
      </c>
    </row>
    <row r="754" spans="3:6">
      <c r="C754" s="46"/>
      <c r="D754" s="46"/>
      <c r="E754" s="46"/>
      <c r="F754" s="54">
        <f t="shared" si="14"/>
        <v>0</v>
      </c>
    </row>
    <row r="755" spans="3:6">
      <c r="C755" s="46"/>
      <c r="D755" s="46"/>
      <c r="E755" s="46"/>
      <c r="F755" s="54">
        <f t="shared" si="14"/>
        <v>0</v>
      </c>
    </row>
    <row r="756" spans="3:6">
      <c r="C756" s="46"/>
      <c r="D756" s="46"/>
      <c r="E756" s="46"/>
      <c r="F756" s="54">
        <f t="shared" si="14"/>
        <v>0</v>
      </c>
    </row>
    <row r="757" spans="3:6">
      <c r="C757" s="46"/>
      <c r="D757" s="46"/>
      <c r="E757" s="46"/>
      <c r="F757" s="54">
        <f t="shared" si="14"/>
        <v>0</v>
      </c>
    </row>
    <row r="758" spans="3:6">
      <c r="C758" s="46"/>
      <c r="D758" s="46"/>
      <c r="E758" s="46"/>
      <c r="F758" s="54">
        <f t="shared" si="14"/>
        <v>0</v>
      </c>
    </row>
    <row r="759" spans="3:6">
      <c r="C759" s="46"/>
      <c r="D759" s="46"/>
      <c r="E759" s="46"/>
      <c r="F759" s="54">
        <f t="shared" si="14"/>
        <v>0</v>
      </c>
    </row>
    <row r="760" spans="3:6">
      <c r="C760" s="46"/>
      <c r="D760" s="46"/>
      <c r="E760" s="46"/>
      <c r="F760" s="54">
        <f t="shared" si="14"/>
        <v>0</v>
      </c>
    </row>
    <row r="761" spans="3:6">
      <c r="C761" s="46"/>
      <c r="D761" s="46"/>
      <c r="E761" s="46"/>
      <c r="F761" s="54">
        <f t="shared" si="14"/>
        <v>0</v>
      </c>
    </row>
    <row r="762" spans="3:6">
      <c r="C762" s="46"/>
      <c r="D762" s="46"/>
      <c r="E762" s="46"/>
      <c r="F762" s="54">
        <f t="shared" si="14"/>
        <v>0</v>
      </c>
    </row>
    <row r="763" spans="3:6">
      <c r="C763" s="46"/>
      <c r="D763" s="46"/>
      <c r="E763" s="46"/>
      <c r="F763" s="54">
        <f t="shared" si="14"/>
        <v>0</v>
      </c>
    </row>
    <row r="764" spans="3:6">
      <c r="C764" s="46"/>
      <c r="D764" s="46"/>
      <c r="E764" s="46"/>
      <c r="F764" s="54">
        <f t="shared" si="14"/>
        <v>0</v>
      </c>
    </row>
    <row r="765" spans="3:6">
      <c r="C765" s="46"/>
      <c r="D765" s="46"/>
      <c r="E765" s="46"/>
      <c r="F765" s="54">
        <f t="shared" si="14"/>
        <v>0</v>
      </c>
    </row>
    <row r="766" spans="3:6">
      <c r="C766" s="46"/>
      <c r="D766" s="46"/>
      <c r="E766" s="46"/>
      <c r="F766" s="54">
        <f t="shared" si="14"/>
        <v>0</v>
      </c>
    </row>
    <row r="767" spans="3:6">
      <c r="C767" s="46"/>
      <c r="D767" s="46"/>
      <c r="E767" s="46"/>
      <c r="F767" s="54">
        <f t="shared" si="14"/>
        <v>0</v>
      </c>
    </row>
    <row r="768" spans="3:6">
      <c r="C768" s="46"/>
      <c r="D768" s="46"/>
      <c r="E768" s="46"/>
      <c r="F768" s="54">
        <f t="shared" si="14"/>
        <v>0</v>
      </c>
    </row>
    <row r="769" spans="3:6">
      <c r="C769" s="46"/>
      <c r="D769" s="46"/>
      <c r="E769" s="46"/>
      <c r="F769" s="54">
        <f t="shared" si="14"/>
        <v>0</v>
      </c>
    </row>
    <row r="770" spans="3:6">
      <c r="C770" s="46"/>
      <c r="D770" s="46"/>
      <c r="E770" s="46"/>
      <c r="F770" s="54">
        <f t="shared" si="14"/>
        <v>0</v>
      </c>
    </row>
    <row r="771" spans="3:6">
      <c r="C771" s="46"/>
      <c r="D771" s="46"/>
      <c r="E771" s="46"/>
      <c r="F771" s="54">
        <f t="shared" ref="F771:F834" si="15">E771*E771/(4*PI()*10000)</f>
        <v>0</v>
      </c>
    </row>
    <row r="772" spans="3:6">
      <c r="C772" s="46"/>
      <c r="D772" s="46"/>
      <c r="E772" s="46"/>
      <c r="F772" s="54">
        <f t="shared" si="15"/>
        <v>0</v>
      </c>
    </row>
    <row r="773" spans="3:6">
      <c r="C773" s="46"/>
      <c r="D773" s="46"/>
      <c r="E773" s="46"/>
      <c r="F773" s="54">
        <f t="shared" si="15"/>
        <v>0</v>
      </c>
    </row>
    <row r="774" spans="3:6">
      <c r="C774" s="46"/>
      <c r="D774" s="46"/>
      <c r="E774" s="46"/>
      <c r="F774" s="54">
        <f t="shared" si="15"/>
        <v>0</v>
      </c>
    </row>
    <row r="775" spans="3:6">
      <c r="C775" s="46"/>
      <c r="D775" s="46"/>
      <c r="E775" s="46"/>
      <c r="F775" s="54">
        <f t="shared" si="15"/>
        <v>0</v>
      </c>
    </row>
    <row r="776" spans="3:6">
      <c r="C776" s="46"/>
      <c r="D776" s="46"/>
      <c r="E776" s="46"/>
      <c r="F776" s="54">
        <f t="shared" si="15"/>
        <v>0</v>
      </c>
    </row>
    <row r="777" spans="3:6">
      <c r="C777" s="46"/>
      <c r="D777" s="46"/>
      <c r="E777" s="46"/>
      <c r="F777" s="54">
        <f t="shared" si="15"/>
        <v>0</v>
      </c>
    </row>
    <row r="778" spans="3:6">
      <c r="C778" s="46"/>
      <c r="D778" s="46"/>
      <c r="E778" s="46"/>
      <c r="F778" s="54">
        <f t="shared" si="15"/>
        <v>0</v>
      </c>
    </row>
    <row r="779" spans="3:6">
      <c r="C779" s="46"/>
      <c r="D779" s="46"/>
      <c r="E779" s="46"/>
      <c r="F779" s="54">
        <f t="shared" si="15"/>
        <v>0</v>
      </c>
    </row>
    <row r="780" spans="3:6">
      <c r="C780" s="46"/>
      <c r="D780" s="46"/>
      <c r="E780" s="46"/>
      <c r="F780" s="54">
        <f t="shared" si="15"/>
        <v>0</v>
      </c>
    </row>
    <row r="781" spans="3:6">
      <c r="C781" s="46"/>
      <c r="D781" s="46"/>
      <c r="E781" s="46"/>
      <c r="F781" s="54">
        <f t="shared" si="15"/>
        <v>0</v>
      </c>
    </row>
    <row r="782" spans="3:6">
      <c r="C782" s="46"/>
      <c r="D782" s="46"/>
      <c r="E782" s="46"/>
      <c r="F782" s="54">
        <f t="shared" si="15"/>
        <v>0</v>
      </c>
    </row>
    <row r="783" spans="3:6">
      <c r="C783" s="46"/>
      <c r="D783" s="46"/>
      <c r="E783" s="46"/>
      <c r="F783" s="54">
        <f t="shared" si="15"/>
        <v>0</v>
      </c>
    </row>
    <row r="784" spans="3:6">
      <c r="C784" s="46"/>
      <c r="D784" s="46"/>
      <c r="E784" s="46"/>
      <c r="F784" s="54">
        <f t="shared" si="15"/>
        <v>0</v>
      </c>
    </row>
    <row r="785" spans="3:6">
      <c r="C785" s="46"/>
      <c r="D785" s="46"/>
      <c r="E785" s="46"/>
      <c r="F785" s="54">
        <f t="shared" si="15"/>
        <v>0</v>
      </c>
    </row>
    <row r="786" spans="3:6">
      <c r="C786" s="46"/>
      <c r="D786" s="46"/>
      <c r="E786" s="46"/>
      <c r="F786" s="54">
        <f t="shared" si="15"/>
        <v>0</v>
      </c>
    </row>
    <row r="787" spans="3:6">
      <c r="C787" s="46"/>
      <c r="D787" s="46"/>
      <c r="E787" s="46"/>
      <c r="F787" s="54">
        <f t="shared" si="15"/>
        <v>0</v>
      </c>
    </row>
    <row r="788" spans="3:6">
      <c r="C788" s="46"/>
      <c r="D788" s="46"/>
      <c r="E788" s="46"/>
      <c r="F788" s="54">
        <f t="shared" si="15"/>
        <v>0</v>
      </c>
    </row>
    <row r="789" spans="3:6">
      <c r="C789" s="46"/>
      <c r="D789" s="46"/>
      <c r="E789" s="46"/>
      <c r="F789" s="54">
        <f t="shared" si="15"/>
        <v>0</v>
      </c>
    </row>
    <row r="790" spans="3:6">
      <c r="C790" s="46"/>
      <c r="D790" s="46"/>
      <c r="E790" s="46"/>
      <c r="F790" s="54">
        <f t="shared" si="15"/>
        <v>0</v>
      </c>
    </row>
    <row r="791" spans="3:6">
      <c r="C791" s="46"/>
      <c r="D791" s="46"/>
      <c r="E791" s="46"/>
      <c r="F791" s="54">
        <f t="shared" si="15"/>
        <v>0</v>
      </c>
    </row>
    <row r="792" spans="3:6">
      <c r="C792" s="46"/>
      <c r="D792" s="46"/>
      <c r="E792" s="46"/>
      <c r="F792" s="54">
        <f t="shared" si="15"/>
        <v>0</v>
      </c>
    </row>
    <row r="793" spans="3:6">
      <c r="C793" s="46"/>
      <c r="D793" s="46"/>
      <c r="E793" s="46"/>
      <c r="F793" s="54">
        <f t="shared" si="15"/>
        <v>0</v>
      </c>
    </row>
    <row r="794" spans="3:6">
      <c r="C794" s="46"/>
      <c r="D794" s="46"/>
      <c r="E794" s="46"/>
      <c r="F794" s="54">
        <f t="shared" si="15"/>
        <v>0</v>
      </c>
    </row>
    <row r="795" spans="3:6">
      <c r="C795" s="46"/>
      <c r="D795" s="46"/>
      <c r="E795" s="46"/>
      <c r="F795" s="54">
        <f t="shared" si="15"/>
        <v>0</v>
      </c>
    </row>
    <row r="796" spans="3:6">
      <c r="C796" s="46"/>
      <c r="D796" s="46"/>
      <c r="E796" s="46"/>
      <c r="F796" s="54">
        <f t="shared" si="15"/>
        <v>0</v>
      </c>
    </row>
    <row r="797" spans="3:6">
      <c r="C797" s="46"/>
      <c r="D797" s="46"/>
      <c r="E797" s="46"/>
      <c r="F797" s="54">
        <f t="shared" si="15"/>
        <v>0</v>
      </c>
    </row>
    <row r="798" spans="3:6">
      <c r="C798" s="46"/>
      <c r="D798" s="46"/>
      <c r="E798" s="46"/>
      <c r="F798" s="54">
        <f t="shared" si="15"/>
        <v>0</v>
      </c>
    </row>
    <row r="799" spans="3:6">
      <c r="C799" s="46"/>
      <c r="D799" s="46"/>
      <c r="E799" s="46"/>
      <c r="F799" s="54">
        <f t="shared" si="15"/>
        <v>0</v>
      </c>
    </row>
    <row r="800" spans="3:6">
      <c r="C800" s="46"/>
      <c r="D800" s="46"/>
      <c r="E800" s="46"/>
      <c r="F800" s="54">
        <f t="shared" si="15"/>
        <v>0</v>
      </c>
    </row>
    <row r="801" spans="3:6">
      <c r="C801" s="46"/>
      <c r="D801" s="46"/>
      <c r="E801" s="46"/>
      <c r="F801" s="54">
        <f t="shared" si="15"/>
        <v>0</v>
      </c>
    </row>
    <row r="802" spans="3:6">
      <c r="C802" s="46"/>
      <c r="D802" s="46"/>
      <c r="E802" s="46"/>
      <c r="F802" s="54">
        <f t="shared" si="15"/>
        <v>0</v>
      </c>
    </row>
    <row r="803" spans="3:6">
      <c r="C803" s="46"/>
      <c r="D803" s="46"/>
      <c r="E803" s="46"/>
      <c r="F803" s="54">
        <f t="shared" si="15"/>
        <v>0</v>
      </c>
    </row>
    <row r="804" spans="3:6">
      <c r="C804" s="46"/>
      <c r="D804" s="46"/>
      <c r="E804" s="46"/>
      <c r="F804" s="54">
        <f t="shared" si="15"/>
        <v>0</v>
      </c>
    </row>
    <row r="805" spans="3:6">
      <c r="C805" s="46"/>
      <c r="D805" s="46"/>
      <c r="E805" s="46"/>
      <c r="F805" s="54">
        <f t="shared" si="15"/>
        <v>0</v>
      </c>
    </row>
    <row r="806" spans="3:6">
      <c r="C806" s="46"/>
      <c r="D806" s="46"/>
      <c r="E806" s="46"/>
      <c r="F806" s="54">
        <f t="shared" si="15"/>
        <v>0</v>
      </c>
    </row>
    <row r="807" spans="3:6">
      <c r="C807" s="46"/>
      <c r="D807" s="46"/>
      <c r="E807" s="46"/>
      <c r="F807" s="54">
        <f t="shared" si="15"/>
        <v>0</v>
      </c>
    </row>
    <row r="808" spans="3:6">
      <c r="C808" s="46"/>
      <c r="D808" s="46"/>
      <c r="E808" s="46"/>
      <c r="F808" s="54">
        <f t="shared" si="15"/>
        <v>0</v>
      </c>
    </row>
    <row r="809" spans="3:6">
      <c r="C809" s="46"/>
      <c r="D809" s="46"/>
      <c r="E809" s="46"/>
      <c r="F809" s="54">
        <f t="shared" si="15"/>
        <v>0</v>
      </c>
    </row>
    <row r="810" spans="3:6">
      <c r="C810" s="46"/>
      <c r="D810" s="46"/>
      <c r="E810" s="46"/>
      <c r="F810" s="54">
        <f t="shared" si="15"/>
        <v>0</v>
      </c>
    </row>
    <row r="811" spans="3:6">
      <c r="C811" s="46"/>
      <c r="D811" s="46"/>
      <c r="E811" s="46"/>
      <c r="F811" s="54">
        <f t="shared" si="15"/>
        <v>0</v>
      </c>
    </row>
    <row r="812" spans="3:6">
      <c r="C812" s="46"/>
      <c r="D812" s="46"/>
      <c r="E812" s="46"/>
      <c r="F812" s="54">
        <f t="shared" si="15"/>
        <v>0</v>
      </c>
    </row>
    <row r="813" spans="3:6">
      <c r="C813" s="46"/>
      <c r="D813" s="46"/>
      <c r="E813" s="46"/>
      <c r="F813" s="54">
        <f t="shared" si="15"/>
        <v>0</v>
      </c>
    </row>
    <row r="814" spans="3:6">
      <c r="C814" s="46"/>
      <c r="D814" s="46"/>
      <c r="E814" s="46"/>
      <c r="F814" s="54">
        <f t="shared" si="15"/>
        <v>0</v>
      </c>
    </row>
    <row r="815" spans="3:6">
      <c r="C815" s="46"/>
      <c r="D815" s="46"/>
      <c r="E815" s="46"/>
      <c r="F815" s="54">
        <f t="shared" si="15"/>
        <v>0</v>
      </c>
    </row>
    <row r="816" spans="3:6">
      <c r="C816" s="46"/>
      <c r="D816" s="46"/>
      <c r="E816" s="46"/>
      <c r="F816" s="54">
        <f t="shared" si="15"/>
        <v>0</v>
      </c>
    </row>
    <row r="817" spans="3:6">
      <c r="C817" s="46"/>
      <c r="D817" s="46"/>
      <c r="E817" s="46"/>
      <c r="F817" s="54">
        <f t="shared" si="15"/>
        <v>0</v>
      </c>
    </row>
    <row r="818" spans="3:6">
      <c r="C818" s="46"/>
      <c r="D818" s="46"/>
      <c r="E818" s="46"/>
      <c r="F818" s="54">
        <f t="shared" si="15"/>
        <v>0</v>
      </c>
    </row>
    <row r="819" spans="3:6">
      <c r="C819" s="46"/>
      <c r="D819" s="46"/>
      <c r="E819" s="46"/>
      <c r="F819" s="54">
        <f t="shared" si="15"/>
        <v>0</v>
      </c>
    </row>
    <row r="820" spans="3:6">
      <c r="C820" s="46"/>
      <c r="D820" s="46"/>
      <c r="E820" s="46"/>
      <c r="F820" s="54">
        <f t="shared" si="15"/>
        <v>0</v>
      </c>
    </row>
    <row r="821" spans="3:6">
      <c r="C821" s="46"/>
      <c r="D821" s="46"/>
      <c r="E821" s="46"/>
      <c r="F821" s="54">
        <f t="shared" si="15"/>
        <v>0</v>
      </c>
    </row>
    <row r="822" spans="3:6">
      <c r="C822" s="46"/>
      <c r="D822" s="46"/>
      <c r="E822" s="46"/>
      <c r="F822" s="54">
        <f t="shared" si="15"/>
        <v>0</v>
      </c>
    </row>
    <row r="823" spans="3:6">
      <c r="C823" s="46"/>
      <c r="D823" s="46"/>
      <c r="E823" s="46"/>
      <c r="F823" s="54">
        <f t="shared" si="15"/>
        <v>0</v>
      </c>
    </row>
    <row r="824" spans="3:6">
      <c r="C824" s="46"/>
      <c r="D824" s="46"/>
      <c r="E824" s="46"/>
      <c r="F824" s="54">
        <f t="shared" si="15"/>
        <v>0</v>
      </c>
    </row>
    <row r="825" spans="3:6">
      <c r="C825" s="46"/>
      <c r="D825" s="46"/>
      <c r="E825" s="46"/>
      <c r="F825" s="54">
        <f t="shared" si="15"/>
        <v>0</v>
      </c>
    </row>
    <row r="826" spans="3:6">
      <c r="C826" s="46"/>
      <c r="D826" s="46"/>
      <c r="E826" s="46"/>
      <c r="F826" s="54">
        <f t="shared" si="15"/>
        <v>0</v>
      </c>
    </row>
    <row r="827" spans="3:6">
      <c r="C827" s="46"/>
      <c r="D827" s="46"/>
      <c r="E827" s="46"/>
      <c r="F827" s="54">
        <f t="shared" si="15"/>
        <v>0</v>
      </c>
    </row>
    <row r="828" spans="3:6">
      <c r="C828" s="46"/>
      <c r="D828" s="46"/>
      <c r="E828" s="46"/>
      <c r="F828" s="54">
        <f t="shared" si="15"/>
        <v>0</v>
      </c>
    </row>
    <row r="829" spans="3:6">
      <c r="C829" s="46"/>
      <c r="D829" s="46"/>
      <c r="E829" s="46"/>
      <c r="F829" s="54">
        <f t="shared" si="15"/>
        <v>0</v>
      </c>
    </row>
    <row r="830" spans="3:6">
      <c r="C830" s="46"/>
      <c r="D830" s="46"/>
      <c r="E830" s="46"/>
      <c r="F830" s="54">
        <f t="shared" si="15"/>
        <v>0</v>
      </c>
    </row>
    <row r="831" spans="3:6">
      <c r="C831" s="46"/>
      <c r="D831" s="46"/>
      <c r="E831" s="46"/>
      <c r="F831" s="54">
        <f t="shared" si="15"/>
        <v>0</v>
      </c>
    </row>
    <row r="832" spans="3:6">
      <c r="C832" s="46"/>
      <c r="D832" s="46"/>
      <c r="E832" s="46"/>
      <c r="F832" s="54">
        <f t="shared" si="15"/>
        <v>0</v>
      </c>
    </row>
    <row r="833" spans="3:6">
      <c r="C833" s="46"/>
      <c r="D833" s="46"/>
      <c r="E833" s="46"/>
      <c r="F833" s="54">
        <f t="shared" si="15"/>
        <v>0</v>
      </c>
    </row>
    <row r="834" spans="3:6">
      <c r="C834" s="46"/>
      <c r="D834" s="46"/>
      <c r="E834" s="46"/>
      <c r="F834" s="54">
        <f t="shared" si="15"/>
        <v>0</v>
      </c>
    </row>
    <row r="835" spans="3:6">
      <c r="C835" s="46"/>
      <c r="D835" s="46"/>
      <c r="E835" s="46"/>
      <c r="F835" s="54">
        <f t="shared" ref="F835:F898" si="16">E835*E835/(4*PI()*10000)</f>
        <v>0</v>
      </c>
    </row>
    <row r="836" spans="3:6">
      <c r="C836" s="46"/>
      <c r="D836" s="46"/>
      <c r="E836" s="46"/>
      <c r="F836" s="54">
        <f t="shared" si="16"/>
        <v>0</v>
      </c>
    </row>
    <row r="837" spans="3:6">
      <c r="C837" s="46"/>
      <c r="D837" s="46"/>
      <c r="E837" s="46"/>
      <c r="F837" s="54">
        <f t="shared" si="16"/>
        <v>0</v>
      </c>
    </row>
    <row r="838" spans="3:6">
      <c r="C838" s="46"/>
      <c r="D838" s="46"/>
      <c r="E838" s="46"/>
      <c r="F838" s="54">
        <f t="shared" si="16"/>
        <v>0</v>
      </c>
    </row>
    <row r="839" spans="3:6">
      <c r="C839" s="46"/>
      <c r="D839" s="46"/>
      <c r="E839" s="46"/>
      <c r="F839" s="54">
        <f t="shared" si="16"/>
        <v>0</v>
      </c>
    </row>
    <row r="840" spans="3:6">
      <c r="C840" s="46"/>
      <c r="D840" s="46"/>
      <c r="E840" s="46"/>
      <c r="F840" s="54">
        <f t="shared" si="16"/>
        <v>0</v>
      </c>
    </row>
    <row r="841" spans="3:6">
      <c r="C841" s="46"/>
      <c r="D841" s="46"/>
      <c r="E841" s="46"/>
      <c r="F841" s="54">
        <f t="shared" si="16"/>
        <v>0</v>
      </c>
    </row>
    <row r="842" spans="3:6">
      <c r="C842" s="46"/>
      <c r="D842" s="46"/>
      <c r="E842" s="46"/>
      <c r="F842" s="54">
        <f t="shared" si="16"/>
        <v>0</v>
      </c>
    </row>
    <row r="843" spans="3:6">
      <c r="C843" s="46"/>
      <c r="D843" s="46"/>
      <c r="E843" s="46"/>
      <c r="F843" s="54">
        <f t="shared" si="16"/>
        <v>0</v>
      </c>
    </row>
    <row r="844" spans="3:6">
      <c r="C844" s="46"/>
      <c r="D844" s="46"/>
      <c r="E844" s="46"/>
      <c r="F844" s="54">
        <f t="shared" si="16"/>
        <v>0</v>
      </c>
    </row>
    <row r="845" spans="3:6">
      <c r="C845" s="46"/>
      <c r="D845" s="46"/>
      <c r="E845" s="46"/>
      <c r="F845" s="54">
        <f t="shared" si="16"/>
        <v>0</v>
      </c>
    </row>
    <row r="846" spans="3:6">
      <c r="C846" s="46"/>
      <c r="D846" s="46"/>
      <c r="E846" s="46"/>
      <c r="F846" s="54">
        <f t="shared" si="16"/>
        <v>0</v>
      </c>
    </row>
    <row r="847" spans="3:6">
      <c r="C847" s="46"/>
      <c r="D847" s="46"/>
      <c r="E847" s="46"/>
      <c r="F847" s="54">
        <f t="shared" si="16"/>
        <v>0</v>
      </c>
    </row>
    <row r="848" spans="3:6">
      <c r="C848" s="46"/>
      <c r="D848" s="46"/>
      <c r="E848" s="46"/>
      <c r="F848" s="54">
        <f t="shared" si="16"/>
        <v>0</v>
      </c>
    </row>
    <row r="849" spans="3:6">
      <c r="C849" s="46"/>
      <c r="D849" s="46"/>
      <c r="E849" s="46"/>
      <c r="F849" s="54">
        <f t="shared" si="16"/>
        <v>0</v>
      </c>
    </row>
    <row r="850" spans="3:6">
      <c r="C850" s="46"/>
      <c r="D850" s="46"/>
      <c r="E850" s="46"/>
      <c r="F850" s="54">
        <f t="shared" si="16"/>
        <v>0</v>
      </c>
    </row>
    <row r="851" spans="3:6">
      <c r="C851" s="46"/>
      <c r="D851" s="46"/>
      <c r="E851" s="46"/>
      <c r="F851" s="54">
        <f t="shared" si="16"/>
        <v>0</v>
      </c>
    </row>
    <row r="852" spans="3:6">
      <c r="C852" s="46"/>
      <c r="D852" s="46"/>
      <c r="E852" s="46"/>
      <c r="F852" s="54">
        <f t="shared" si="16"/>
        <v>0</v>
      </c>
    </row>
    <row r="853" spans="3:6">
      <c r="C853" s="46"/>
      <c r="D853" s="46"/>
      <c r="E853" s="46"/>
      <c r="F853" s="54">
        <f t="shared" si="16"/>
        <v>0</v>
      </c>
    </row>
    <row r="854" spans="3:6">
      <c r="C854" s="46"/>
      <c r="D854" s="46"/>
      <c r="E854" s="46"/>
      <c r="F854" s="54">
        <f t="shared" si="16"/>
        <v>0</v>
      </c>
    </row>
    <row r="855" spans="3:6">
      <c r="C855" s="46"/>
      <c r="D855" s="46"/>
      <c r="E855" s="46"/>
      <c r="F855" s="54">
        <f t="shared" si="16"/>
        <v>0</v>
      </c>
    </row>
    <row r="856" spans="3:6">
      <c r="C856" s="46"/>
      <c r="D856" s="46"/>
      <c r="E856" s="46"/>
      <c r="F856" s="54">
        <f t="shared" si="16"/>
        <v>0</v>
      </c>
    </row>
    <row r="857" spans="3:6">
      <c r="C857" s="46"/>
      <c r="D857" s="46"/>
      <c r="E857" s="46"/>
      <c r="F857" s="54">
        <f t="shared" si="16"/>
        <v>0</v>
      </c>
    </row>
    <row r="858" spans="3:6">
      <c r="C858" s="46"/>
      <c r="D858" s="46"/>
      <c r="E858" s="46"/>
      <c r="F858" s="54">
        <f t="shared" si="16"/>
        <v>0</v>
      </c>
    </row>
    <row r="859" spans="3:6">
      <c r="C859" s="46"/>
      <c r="D859" s="46"/>
      <c r="E859" s="46"/>
      <c r="F859" s="54">
        <f t="shared" si="16"/>
        <v>0</v>
      </c>
    </row>
    <row r="860" spans="3:6">
      <c r="C860" s="46"/>
      <c r="D860" s="46"/>
      <c r="E860" s="46"/>
      <c r="F860" s="54">
        <f t="shared" si="16"/>
        <v>0</v>
      </c>
    </row>
    <row r="861" spans="3:6">
      <c r="C861" s="46"/>
      <c r="D861" s="46"/>
      <c r="E861" s="46"/>
      <c r="F861" s="54">
        <f t="shared" si="16"/>
        <v>0</v>
      </c>
    </row>
    <row r="862" spans="3:6">
      <c r="C862" s="46"/>
      <c r="D862" s="46"/>
      <c r="E862" s="46"/>
      <c r="F862" s="54">
        <f t="shared" si="16"/>
        <v>0</v>
      </c>
    </row>
    <row r="863" spans="3:6">
      <c r="C863" s="46"/>
      <c r="D863" s="46"/>
      <c r="E863" s="46"/>
      <c r="F863" s="54">
        <f t="shared" si="16"/>
        <v>0</v>
      </c>
    </row>
    <row r="864" spans="3:6">
      <c r="C864" s="46"/>
      <c r="D864" s="46"/>
      <c r="E864" s="46"/>
      <c r="F864" s="54">
        <f t="shared" si="16"/>
        <v>0</v>
      </c>
    </row>
    <row r="865" spans="3:6">
      <c r="C865" s="46"/>
      <c r="D865" s="46"/>
      <c r="E865" s="46"/>
      <c r="F865" s="54">
        <f t="shared" si="16"/>
        <v>0</v>
      </c>
    </row>
    <row r="866" spans="3:6">
      <c r="C866" s="46"/>
      <c r="D866" s="46"/>
      <c r="E866" s="46"/>
      <c r="F866" s="54">
        <f t="shared" si="16"/>
        <v>0</v>
      </c>
    </row>
    <row r="867" spans="3:6">
      <c r="C867" s="46"/>
      <c r="D867" s="46"/>
      <c r="E867" s="46"/>
      <c r="F867" s="54">
        <f t="shared" si="16"/>
        <v>0</v>
      </c>
    </row>
    <row r="868" spans="3:6">
      <c r="C868" s="46"/>
      <c r="D868" s="46"/>
      <c r="E868" s="46"/>
      <c r="F868" s="54">
        <f t="shared" si="16"/>
        <v>0</v>
      </c>
    </row>
    <row r="869" spans="3:6">
      <c r="C869" s="46"/>
      <c r="D869" s="46"/>
      <c r="E869" s="46"/>
      <c r="F869" s="54">
        <f t="shared" si="16"/>
        <v>0</v>
      </c>
    </row>
    <row r="870" spans="3:6">
      <c r="C870" s="46"/>
      <c r="D870" s="46"/>
      <c r="E870" s="46"/>
      <c r="F870" s="54">
        <f t="shared" si="16"/>
        <v>0</v>
      </c>
    </row>
    <row r="871" spans="3:6">
      <c r="C871" s="46"/>
      <c r="D871" s="46"/>
      <c r="E871" s="46"/>
      <c r="F871" s="54">
        <f t="shared" si="16"/>
        <v>0</v>
      </c>
    </row>
    <row r="872" spans="3:6">
      <c r="C872" s="46"/>
      <c r="D872" s="46"/>
      <c r="E872" s="46"/>
      <c r="F872" s="54">
        <f t="shared" si="16"/>
        <v>0</v>
      </c>
    </row>
    <row r="873" spans="3:6">
      <c r="C873" s="46"/>
      <c r="D873" s="46"/>
      <c r="E873" s="46"/>
      <c r="F873" s="54">
        <f t="shared" si="16"/>
        <v>0</v>
      </c>
    </row>
    <row r="874" spans="3:6">
      <c r="C874" s="46"/>
      <c r="D874" s="46"/>
      <c r="E874" s="46"/>
      <c r="F874" s="54">
        <f t="shared" si="16"/>
        <v>0</v>
      </c>
    </row>
    <row r="875" spans="3:6">
      <c r="C875" s="46"/>
      <c r="D875" s="46"/>
      <c r="E875" s="46"/>
      <c r="F875" s="54">
        <f t="shared" si="16"/>
        <v>0</v>
      </c>
    </row>
    <row r="876" spans="3:6">
      <c r="C876" s="46"/>
      <c r="D876" s="46"/>
      <c r="E876" s="46"/>
      <c r="F876" s="54">
        <f t="shared" si="16"/>
        <v>0</v>
      </c>
    </row>
    <row r="877" spans="3:6">
      <c r="C877" s="46"/>
      <c r="D877" s="46"/>
      <c r="E877" s="46"/>
      <c r="F877" s="54">
        <f t="shared" si="16"/>
        <v>0</v>
      </c>
    </row>
    <row r="878" spans="3:6">
      <c r="C878" s="46"/>
      <c r="D878" s="46"/>
      <c r="E878" s="46"/>
      <c r="F878" s="54">
        <f t="shared" si="16"/>
        <v>0</v>
      </c>
    </row>
    <row r="879" spans="3:6">
      <c r="C879" s="46"/>
      <c r="D879" s="46"/>
      <c r="E879" s="46"/>
      <c r="F879" s="54">
        <f t="shared" si="16"/>
        <v>0</v>
      </c>
    </row>
    <row r="880" spans="3:6">
      <c r="C880" s="46"/>
      <c r="D880" s="46"/>
      <c r="E880" s="46"/>
      <c r="F880" s="54">
        <f t="shared" si="16"/>
        <v>0</v>
      </c>
    </row>
    <row r="881" spans="3:6">
      <c r="C881" s="46"/>
      <c r="D881" s="46"/>
      <c r="E881" s="46"/>
      <c r="F881" s="54">
        <f t="shared" si="16"/>
        <v>0</v>
      </c>
    </row>
    <row r="882" spans="3:6">
      <c r="C882" s="46"/>
      <c r="D882" s="46"/>
      <c r="E882" s="46"/>
      <c r="F882" s="54">
        <f t="shared" si="16"/>
        <v>0</v>
      </c>
    </row>
    <row r="883" spans="3:6">
      <c r="C883" s="46"/>
      <c r="D883" s="46"/>
      <c r="E883" s="46"/>
      <c r="F883" s="54">
        <f t="shared" si="16"/>
        <v>0</v>
      </c>
    </row>
    <row r="884" spans="3:6">
      <c r="C884" s="46"/>
      <c r="D884" s="46"/>
      <c r="E884" s="46"/>
      <c r="F884" s="54">
        <f t="shared" si="16"/>
        <v>0</v>
      </c>
    </row>
    <row r="885" spans="3:6">
      <c r="C885" s="46"/>
      <c r="D885" s="46"/>
      <c r="E885" s="46"/>
      <c r="F885" s="54">
        <f t="shared" si="16"/>
        <v>0</v>
      </c>
    </row>
    <row r="886" spans="3:6">
      <c r="C886" s="46"/>
      <c r="D886" s="46"/>
      <c r="E886" s="46"/>
      <c r="F886" s="54">
        <f t="shared" si="16"/>
        <v>0</v>
      </c>
    </row>
    <row r="887" spans="3:6">
      <c r="C887" s="46"/>
      <c r="D887" s="46"/>
      <c r="E887" s="46"/>
      <c r="F887" s="54">
        <f t="shared" si="16"/>
        <v>0</v>
      </c>
    </row>
    <row r="888" spans="3:6">
      <c r="C888" s="46"/>
      <c r="D888" s="46"/>
      <c r="E888" s="46"/>
      <c r="F888" s="54">
        <f t="shared" si="16"/>
        <v>0</v>
      </c>
    </row>
    <row r="889" spans="3:6">
      <c r="C889" s="46"/>
      <c r="D889" s="46"/>
      <c r="E889" s="46"/>
      <c r="F889" s="54">
        <f t="shared" si="16"/>
        <v>0</v>
      </c>
    </row>
    <row r="890" spans="3:6">
      <c r="C890" s="46"/>
      <c r="D890" s="46"/>
      <c r="E890" s="46"/>
      <c r="F890" s="54">
        <f t="shared" si="16"/>
        <v>0</v>
      </c>
    </row>
    <row r="891" spans="3:6">
      <c r="C891" s="46"/>
      <c r="D891" s="46"/>
      <c r="E891" s="46"/>
      <c r="F891" s="54">
        <f t="shared" si="16"/>
        <v>0</v>
      </c>
    </row>
    <row r="892" spans="3:6">
      <c r="C892" s="46"/>
      <c r="D892" s="46"/>
      <c r="E892" s="46"/>
      <c r="F892" s="54">
        <f t="shared" si="16"/>
        <v>0</v>
      </c>
    </row>
    <row r="893" spans="3:6">
      <c r="C893" s="46"/>
      <c r="D893" s="46"/>
      <c r="E893" s="46"/>
      <c r="F893" s="54">
        <f t="shared" si="16"/>
        <v>0</v>
      </c>
    </row>
    <row r="894" spans="3:6">
      <c r="C894" s="46"/>
      <c r="D894" s="46"/>
      <c r="E894" s="46"/>
      <c r="F894" s="54">
        <f t="shared" si="16"/>
        <v>0</v>
      </c>
    </row>
    <row r="895" spans="3:6">
      <c r="C895" s="46"/>
      <c r="D895" s="46"/>
      <c r="E895" s="46"/>
      <c r="F895" s="54">
        <f t="shared" si="16"/>
        <v>0</v>
      </c>
    </row>
    <row r="896" spans="3:6">
      <c r="C896" s="46"/>
      <c r="D896" s="46"/>
      <c r="E896" s="46"/>
      <c r="F896" s="54">
        <f t="shared" si="16"/>
        <v>0</v>
      </c>
    </row>
    <row r="897" spans="3:6">
      <c r="C897" s="46"/>
      <c r="D897" s="46"/>
      <c r="E897" s="46"/>
      <c r="F897" s="54">
        <f t="shared" si="16"/>
        <v>0</v>
      </c>
    </row>
    <row r="898" spans="3:6">
      <c r="C898" s="46"/>
      <c r="D898" s="46"/>
      <c r="E898" s="46"/>
      <c r="F898" s="54">
        <f t="shared" si="16"/>
        <v>0</v>
      </c>
    </row>
    <row r="899" spans="3:6">
      <c r="C899" s="46"/>
      <c r="D899" s="46"/>
      <c r="E899" s="46"/>
      <c r="F899" s="54">
        <f t="shared" ref="F899:F962" si="17">E899*E899/(4*PI()*10000)</f>
        <v>0</v>
      </c>
    </row>
    <row r="900" spans="3:6">
      <c r="C900" s="46"/>
      <c r="D900" s="46"/>
      <c r="E900" s="46"/>
      <c r="F900" s="54">
        <f t="shared" si="17"/>
        <v>0</v>
      </c>
    </row>
    <row r="901" spans="3:6">
      <c r="C901" s="46"/>
      <c r="D901" s="46"/>
      <c r="E901" s="46"/>
      <c r="F901" s="54">
        <f t="shared" si="17"/>
        <v>0</v>
      </c>
    </row>
    <row r="902" spans="3:6">
      <c r="C902" s="46"/>
      <c r="D902" s="46"/>
      <c r="E902" s="46"/>
      <c r="F902" s="54">
        <f t="shared" si="17"/>
        <v>0</v>
      </c>
    </row>
    <row r="903" spans="3:6">
      <c r="C903" s="46"/>
      <c r="D903" s="46"/>
      <c r="E903" s="46"/>
      <c r="F903" s="54">
        <f t="shared" si="17"/>
        <v>0</v>
      </c>
    </row>
    <row r="904" spans="3:6">
      <c r="C904" s="46"/>
      <c r="D904" s="46"/>
      <c r="E904" s="46"/>
      <c r="F904" s="54">
        <f t="shared" si="17"/>
        <v>0</v>
      </c>
    </row>
    <row r="905" spans="3:6">
      <c r="C905" s="46"/>
      <c r="D905" s="46"/>
      <c r="E905" s="46"/>
      <c r="F905" s="54">
        <f t="shared" si="17"/>
        <v>0</v>
      </c>
    </row>
    <row r="906" spans="3:6">
      <c r="C906" s="46"/>
      <c r="D906" s="46"/>
      <c r="E906" s="46"/>
      <c r="F906" s="54">
        <f t="shared" si="17"/>
        <v>0</v>
      </c>
    </row>
    <row r="907" spans="3:6">
      <c r="C907" s="46"/>
      <c r="D907" s="46"/>
      <c r="E907" s="46"/>
      <c r="F907" s="54">
        <f t="shared" si="17"/>
        <v>0</v>
      </c>
    </row>
    <row r="908" spans="3:6">
      <c r="C908" s="46"/>
      <c r="D908" s="46"/>
      <c r="E908" s="46"/>
      <c r="F908" s="54">
        <f t="shared" si="17"/>
        <v>0</v>
      </c>
    </row>
    <row r="909" spans="3:6">
      <c r="C909" s="46"/>
      <c r="D909" s="46"/>
      <c r="E909" s="46"/>
      <c r="F909" s="54">
        <f t="shared" si="17"/>
        <v>0</v>
      </c>
    </row>
    <row r="910" spans="3:6">
      <c r="C910" s="46"/>
      <c r="D910" s="46"/>
      <c r="E910" s="46"/>
      <c r="F910" s="54">
        <f t="shared" si="17"/>
        <v>0</v>
      </c>
    </row>
    <row r="911" spans="3:6">
      <c r="C911" s="46"/>
      <c r="D911" s="46"/>
      <c r="E911" s="46"/>
      <c r="F911" s="54">
        <f t="shared" si="17"/>
        <v>0</v>
      </c>
    </row>
    <row r="912" spans="3:6">
      <c r="C912" s="46"/>
      <c r="D912" s="46"/>
      <c r="E912" s="46"/>
      <c r="F912" s="54">
        <f t="shared" si="17"/>
        <v>0</v>
      </c>
    </row>
    <row r="913" spans="3:6">
      <c r="C913" s="46"/>
      <c r="D913" s="46"/>
      <c r="E913" s="46"/>
      <c r="F913" s="54">
        <f t="shared" si="17"/>
        <v>0</v>
      </c>
    </row>
    <row r="914" spans="3:6">
      <c r="C914" s="46"/>
      <c r="D914" s="46"/>
      <c r="E914" s="46"/>
      <c r="F914" s="54">
        <f t="shared" si="17"/>
        <v>0</v>
      </c>
    </row>
    <row r="915" spans="3:6">
      <c r="C915" s="46"/>
      <c r="D915" s="46"/>
      <c r="E915" s="46"/>
      <c r="F915" s="54">
        <f t="shared" si="17"/>
        <v>0</v>
      </c>
    </row>
    <row r="916" spans="3:6">
      <c r="C916" s="46"/>
      <c r="D916" s="46"/>
      <c r="E916" s="46"/>
      <c r="F916" s="54">
        <f t="shared" si="17"/>
        <v>0</v>
      </c>
    </row>
    <row r="917" spans="3:6">
      <c r="C917" s="46"/>
      <c r="D917" s="46"/>
      <c r="E917" s="46"/>
      <c r="F917" s="54">
        <f t="shared" si="17"/>
        <v>0</v>
      </c>
    </row>
    <row r="918" spans="3:6">
      <c r="C918" s="46"/>
      <c r="D918" s="46"/>
      <c r="E918" s="46"/>
      <c r="F918" s="54">
        <f t="shared" si="17"/>
        <v>0</v>
      </c>
    </row>
    <row r="919" spans="3:6">
      <c r="C919" s="46"/>
      <c r="D919" s="46"/>
      <c r="E919" s="46"/>
      <c r="F919" s="54">
        <f t="shared" si="17"/>
        <v>0</v>
      </c>
    </row>
    <row r="920" spans="3:6">
      <c r="C920" s="46"/>
      <c r="D920" s="46"/>
      <c r="E920" s="46"/>
      <c r="F920" s="54">
        <f t="shared" si="17"/>
        <v>0</v>
      </c>
    </row>
    <row r="921" spans="3:6">
      <c r="C921" s="46"/>
      <c r="D921" s="46"/>
      <c r="E921" s="46"/>
      <c r="F921" s="54">
        <f t="shared" si="17"/>
        <v>0</v>
      </c>
    </row>
    <row r="922" spans="3:6">
      <c r="C922" s="46"/>
      <c r="D922" s="46"/>
      <c r="E922" s="46"/>
      <c r="F922" s="54">
        <f t="shared" si="17"/>
        <v>0</v>
      </c>
    </row>
    <row r="923" spans="3:6">
      <c r="C923" s="46"/>
      <c r="D923" s="46"/>
      <c r="E923" s="46"/>
      <c r="F923" s="54">
        <f t="shared" si="17"/>
        <v>0</v>
      </c>
    </row>
    <row r="924" spans="3:6">
      <c r="C924" s="46"/>
      <c r="D924" s="46"/>
      <c r="E924" s="46"/>
      <c r="F924" s="54">
        <f t="shared" si="17"/>
        <v>0</v>
      </c>
    </row>
    <row r="925" spans="3:6">
      <c r="C925" s="46"/>
      <c r="D925" s="46"/>
      <c r="E925" s="46"/>
      <c r="F925" s="54">
        <f t="shared" si="17"/>
        <v>0</v>
      </c>
    </row>
    <row r="926" spans="3:6">
      <c r="C926" s="46"/>
      <c r="D926" s="46"/>
      <c r="E926" s="46"/>
      <c r="F926" s="54">
        <f t="shared" si="17"/>
        <v>0</v>
      </c>
    </row>
    <row r="927" spans="3:6">
      <c r="C927" s="46"/>
      <c r="D927" s="46"/>
      <c r="E927" s="46"/>
      <c r="F927" s="54">
        <f t="shared" si="17"/>
        <v>0</v>
      </c>
    </row>
    <row r="928" spans="3:6">
      <c r="C928" s="46"/>
      <c r="D928" s="46"/>
      <c r="E928" s="46"/>
      <c r="F928" s="54">
        <f t="shared" si="17"/>
        <v>0</v>
      </c>
    </row>
    <row r="929" spans="3:6">
      <c r="C929" s="46"/>
      <c r="D929" s="46"/>
      <c r="E929" s="46"/>
      <c r="F929" s="54">
        <f t="shared" si="17"/>
        <v>0</v>
      </c>
    </row>
    <row r="930" spans="3:6">
      <c r="C930" s="46"/>
      <c r="D930" s="46"/>
      <c r="E930" s="46"/>
      <c r="F930" s="54">
        <f t="shared" si="17"/>
        <v>0</v>
      </c>
    </row>
    <row r="931" spans="3:6">
      <c r="C931" s="46"/>
      <c r="D931" s="46"/>
      <c r="E931" s="46"/>
      <c r="F931" s="54">
        <f t="shared" si="17"/>
        <v>0</v>
      </c>
    </row>
    <row r="932" spans="3:6">
      <c r="C932" s="46"/>
      <c r="D932" s="46"/>
      <c r="E932" s="46"/>
      <c r="F932" s="54">
        <f t="shared" si="17"/>
        <v>0</v>
      </c>
    </row>
    <row r="933" spans="3:6">
      <c r="C933" s="46"/>
      <c r="D933" s="46"/>
      <c r="E933" s="46"/>
      <c r="F933" s="54">
        <f t="shared" si="17"/>
        <v>0</v>
      </c>
    </row>
    <row r="934" spans="3:6">
      <c r="C934" s="46"/>
      <c r="D934" s="46"/>
      <c r="E934" s="46"/>
      <c r="F934" s="54">
        <f t="shared" si="17"/>
        <v>0</v>
      </c>
    </row>
    <row r="935" spans="3:6">
      <c r="C935" s="46"/>
      <c r="D935" s="46"/>
      <c r="E935" s="46"/>
      <c r="F935" s="54">
        <f t="shared" si="17"/>
        <v>0</v>
      </c>
    </row>
    <row r="936" spans="3:6">
      <c r="C936" s="46"/>
      <c r="D936" s="46"/>
      <c r="E936" s="46"/>
      <c r="F936" s="54">
        <f t="shared" si="17"/>
        <v>0</v>
      </c>
    </row>
    <row r="937" spans="3:6">
      <c r="C937" s="46"/>
      <c r="D937" s="46"/>
      <c r="E937" s="46"/>
      <c r="F937" s="54">
        <f t="shared" si="17"/>
        <v>0</v>
      </c>
    </row>
    <row r="938" spans="3:6">
      <c r="C938" s="46"/>
      <c r="D938" s="46"/>
      <c r="E938" s="46"/>
      <c r="F938" s="54">
        <f t="shared" si="17"/>
        <v>0</v>
      </c>
    </row>
    <row r="939" spans="3:6">
      <c r="C939" s="46"/>
      <c r="D939" s="46"/>
      <c r="E939" s="46"/>
      <c r="F939" s="54">
        <f t="shared" si="17"/>
        <v>0</v>
      </c>
    </row>
    <row r="940" spans="3:6">
      <c r="C940" s="46"/>
      <c r="D940" s="46"/>
      <c r="E940" s="46"/>
      <c r="F940" s="54">
        <f t="shared" si="17"/>
        <v>0</v>
      </c>
    </row>
    <row r="941" spans="3:6">
      <c r="C941" s="46"/>
      <c r="D941" s="46"/>
      <c r="E941" s="46"/>
      <c r="F941" s="54">
        <f t="shared" si="17"/>
        <v>0</v>
      </c>
    </row>
    <row r="942" spans="3:6">
      <c r="C942" s="46"/>
      <c r="D942" s="46"/>
      <c r="E942" s="46"/>
      <c r="F942" s="54">
        <f t="shared" si="17"/>
        <v>0</v>
      </c>
    </row>
    <row r="943" spans="3:6">
      <c r="C943" s="46"/>
      <c r="D943" s="46"/>
      <c r="E943" s="46"/>
      <c r="F943" s="54">
        <f t="shared" si="17"/>
        <v>0</v>
      </c>
    </row>
    <row r="944" spans="3:6">
      <c r="C944" s="46"/>
      <c r="D944" s="46"/>
      <c r="E944" s="46"/>
      <c r="F944" s="54">
        <f t="shared" si="17"/>
        <v>0</v>
      </c>
    </row>
    <row r="945" spans="3:6">
      <c r="C945" s="46"/>
      <c r="D945" s="46"/>
      <c r="E945" s="46"/>
      <c r="F945" s="54">
        <f t="shared" si="17"/>
        <v>0</v>
      </c>
    </row>
    <row r="946" spans="3:6">
      <c r="C946" s="46"/>
      <c r="D946" s="46"/>
      <c r="E946" s="46"/>
      <c r="F946" s="54">
        <f t="shared" si="17"/>
        <v>0</v>
      </c>
    </row>
    <row r="947" spans="3:6">
      <c r="C947" s="46"/>
      <c r="D947" s="46"/>
      <c r="E947" s="46"/>
      <c r="F947" s="54">
        <f t="shared" si="17"/>
        <v>0</v>
      </c>
    </row>
    <row r="948" spans="3:6">
      <c r="C948" s="46"/>
      <c r="D948" s="46"/>
      <c r="E948" s="46"/>
      <c r="F948" s="54">
        <f t="shared" si="17"/>
        <v>0</v>
      </c>
    </row>
    <row r="949" spans="3:6">
      <c r="C949" s="46"/>
      <c r="D949" s="46"/>
      <c r="E949" s="46"/>
      <c r="F949" s="54">
        <f t="shared" si="17"/>
        <v>0</v>
      </c>
    </row>
    <row r="950" spans="3:6">
      <c r="C950" s="46"/>
      <c r="D950" s="46"/>
      <c r="E950" s="46"/>
      <c r="F950" s="54">
        <f t="shared" si="17"/>
        <v>0</v>
      </c>
    </row>
    <row r="951" spans="3:6">
      <c r="C951" s="46"/>
      <c r="D951" s="46"/>
      <c r="E951" s="46"/>
      <c r="F951" s="54">
        <f t="shared" si="17"/>
        <v>0</v>
      </c>
    </row>
    <row r="952" spans="3:6">
      <c r="C952" s="46"/>
      <c r="D952" s="46"/>
      <c r="E952" s="46"/>
      <c r="F952" s="54">
        <f t="shared" si="17"/>
        <v>0</v>
      </c>
    </row>
    <row r="953" spans="3:6">
      <c r="C953" s="46"/>
      <c r="D953" s="46"/>
      <c r="E953" s="46"/>
      <c r="F953" s="54">
        <f t="shared" si="17"/>
        <v>0</v>
      </c>
    </row>
    <row r="954" spans="3:6">
      <c r="C954" s="46"/>
      <c r="D954" s="46"/>
      <c r="E954" s="46"/>
      <c r="F954" s="54">
        <f t="shared" si="17"/>
        <v>0</v>
      </c>
    </row>
    <row r="955" spans="3:6">
      <c r="C955" s="46"/>
      <c r="D955" s="46"/>
      <c r="E955" s="46"/>
      <c r="F955" s="54">
        <f t="shared" si="17"/>
        <v>0</v>
      </c>
    </row>
    <row r="956" spans="3:6">
      <c r="C956" s="46"/>
      <c r="D956" s="46"/>
      <c r="E956" s="46"/>
      <c r="F956" s="54">
        <f t="shared" si="17"/>
        <v>0</v>
      </c>
    </row>
    <row r="957" spans="3:6">
      <c r="C957" s="46"/>
      <c r="D957" s="46"/>
      <c r="E957" s="46"/>
      <c r="F957" s="54">
        <f t="shared" si="17"/>
        <v>0</v>
      </c>
    </row>
    <row r="958" spans="3:6">
      <c r="C958" s="46"/>
      <c r="D958" s="46"/>
      <c r="E958" s="46"/>
      <c r="F958" s="54">
        <f t="shared" si="17"/>
        <v>0</v>
      </c>
    </row>
    <row r="959" spans="3:6">
      <c r="C959" s="46"/>
      <c r="D959" s="46"/>
      <c r="E959" s="46"/>
      <c r="F959" s="54">
        <f t="shared" si="17"/>
        <v>0</v>
      </c>
    </row>
    <row r="960" spans="3:6">
      <c r="C960" s="46"/>
      <c r="D960" s="46"/>
      <c r="E960" s="46"/>
      <c r="F960" s="54">
        <f t="shared" si="17"/>
        <v>0</v>
      </c>
    </row>
    <row r="961" spans="3:6">
      <c r="C961" s="46"/>
      <c r="D961" s="46"/>
      <c r="E961" s="46"/>
      <c r="F961" s="54">
        <f t="shared" si="17"/>
        <v>0</v>
      </c>
    </row>
    <row r="962" spans="3:6">
      <c r="C962" s="46"/>
      <c r="D962" s="46"/>
      <c r="E962" s="46"/>
      <c r="F962" s="54">
        <f t="shared" si="17"/>
        <v>0</v>
      </c>
    </row>
    <row r="963" spans="3:6">
      <c r="C963" s="46"/>
      <c r="D963" s="46"/>
      <c r="E963" s="46"/>
      <c r="F963" s="54">
        <f t="shared" ref="F963:F1026" si="18">E963*E963/(4*PI()*10000)</f>
        <v>0</v>
      </c>
    </row>
    <row r="964" spans="3:6">
      <c r="C964" s="46"/>
      <c r="D964" s="46"/>
      <c r="E964" s="46"/>
      <c r="F964" s="54">
        <f t="shared" si="18"/>
        <v>0</v>
      </c>
    </row>
    <row r="965" spans="3:6">
      <c r="C965" s="46"/>
      <c r="D965" s="46"/>
      <c r="E965" s="46"/>
      <c r="F965" s="54">
        <f t="shared" si="18"/>
        <v>0</v>
      </c>
    </row>
    <row r="966" spans="3:6">
      <c r="C966" s="46"/>
      <c r="D966" s="46"/>
      <c r="E966" s="46"/>
      <c r="F966" s="54">
        <f t="shared" si="18"/>
        <v>0</v>
      </c>
    </row>
    <row r="967" spans="3:6">
      <c r="C967" s="46"/>
      <c r="D967" s="46"/>
      <c r="E967" s="46"/>
      <c r="F967" s="54">
        <f t="shared" si="18"/>
        <v>0</v>
      </c>
    </row>
    <row r="968" spans="3:6">
      <c r="C968" s="46"/>
      <c r="D968" s="46"/>
      <c r="E968" s="46"/>
      <c r="F968" s="54">
        <f t="shared" si="18"/>
        <v>0</v>
      </c>
    </row>
    <row r="969" spans="3:6">
      <c r="C969" s="46"/>
      <c r="D969" s="46"/>
      <c r="E969" s="46"/>
      <c r="F969" s="54">
        <f t="shared" si="18"/>
        <v>0</v>
      </c>
    </row>
    <row r="970" spans="3:6">
      <c r="C970" s="46"/>
      <c r="D970" s="46"/>
      <c r="E970" s="46"/>
      <c r="F970" s="54">
        <f t="shared" si="18"/>
        <v>0</v>
      </c>
    </row>
    <row r="971" spans="3:6">
      <c r="C971" s="46"/>
      <c r="D971" s="46"/>
      <c r="E971" s="46"/>
      <c r="F971" s="54">
        <f t="shared" si="18"/>
        <v>0</v>
      </c>
    </row>
    <row r="972" spans="3:6">
      <c r="C972" s="46"/>
      <c r="D972" s="46"/>
      <c r="E972" s="46"/>
      <c r="F972" s="54">
        <f t="shared" si="18"/>
        <v>0</v>
      </c>
    </row>
    <row r="973" spans="3:6">
      <c r="C973" s="46"/>
      <c r="D973" s="46"/>
      <c r="E973" s="46"/>
      <c r="F973" s="54">
        <f t="shared" si="18"/>
        <v>0</v>
      </c>
    </row>
    <row r="974" spans="3:6">
      <c r="C974" s="46"/>
      <c r="D974" s="46"/>
      <c r="E974" s="46"/>
      <c r="F974" s="54">
        <f t="shared" si="18"/>
        <v>0</v>
      </c>
    </row>
    <row r="975" spans="3:6">
      <c r="C975" s="46"/>
      <c r="D975" s="46"/>
      <c r="E975" s="46"/>
      <c r="F975" s="54">
        <f t="shared" si="18"/>
        <v>0</v>
      </c>
    </row>
    <row r="976" spans="3:6">
      <c r="C976" s="46"/>
      <c r="D976" s="46"/>
      <c r="E976" s="46"/>
      <c r="F976" s="54">
        <f t="shared" si="18"/>
        <v>0</v>
      </c>
    </row>
    <row r="977" spans="3:6">
      <c r="C977" s="46"/>
      <c r="D977" s="46"/>
      <c r="E977" s="46"/>
      <c r="F977" s="54">
        <f t="shared" si="18"/>
        <v>0</v>
      </c>
    </row>
    <row r="978" spans="3:6">
      <c r="C978" s="46"/>
      <c r="D978" s="46"/>
      <c r="E978" s="46"/>
      <c r="F978" s="54">
        <f t="shared" si="18"/>
        <v>0</v>
      </c>
    </row>
    <row r="979" spans="3:6">
      <c r="C979" s="46"/>
      <c r="D979" s="46"/>
      <c r="E979" s="46"/>
      <c r="F979" s="54">
        <f t="shared" si="18"/>
        <v>0</v>
      </c>
    </row>
    <row r="980" spans="3:6">
      <c r="C980" s="46"/>
      <c r="D980" s="46"/>
      <c r="E980" s="46"/>
      <c r="F980" s="54">
        <f t="shared" si="18"/>
        <v>0</v>
      </c>
    </row>
    <row r="981" spans="3:6">
      <c r="C981" s="46"/>
      <c r="D981" s="46"/>
      <c r="E981" s="46"/>
      <c r="F981" s="54">
        <f t="shared" si="18"/>
        <v>0</v>
      </c>
    </row>
    <row r="982" spans="3:6">
      <c r="C982" s="46"/>
      <c r="D982" s="46"/>
      <c r="E982" s="46"/>
      <c r="F982" s="54">
        <f t="shared" si="18"/>
        <v>0</v>
      </c>
    </row>
    <row r="983" spans="3:6">
      <c r="C983" s="46"/>
      <c r="D983" s="46"/>
      <c r="E983" s="46"/>
      <c r="F983" s="54">
        <f t="shared" si="18"/>
        <v>0</v>
      </c>
    </row>
    <row r="984" spans="3:6">
      <c r="C984" s="46"/>
      <c r="D984" s="46"/>
      <c r="E984" s="46"/>
      <c r="F984" s="54">
        <f t="shared" si="18"/>
        <v>0</v>
      </c>
    </row>
    <row r="985" spans="3:6">
      <c r="C985" s="46"/>
      <c r="D985" s="46"/>
      <c r="E985" s="46"/>
      <c r="F985" s="54">
        <f t="shared" si="18"/>
        <v>0</v>
      </c>
    </row>
    <row r="986" spans="3:6">
      <c r="C986" s="46"/>
      <c r="D986" s="46"/>
      <c r="E986" s="46"/>
      <c r="F986" s="54">
        <f t="shared" si="18"/>
        <v>0</v>
      </c>
    </row>
    <row r="987" spans="3:6">
      <c r="C987" s="46"/>
      <c r="D987" s="46"/>
      <c r="E987" s="46"/>
      <c r="F987" s="54">
        <f t="shared" si="18"/>
        <v>0</v>
      </c>
    </row>
    <row r="988" spans="3:6">
      <c r="C988" s="46"/>
      <c r="D988" s="46"/>
      <c r="E988" s="46"/>
      <c r="F988" s="54">
        <f t="shared" si="18"/>
        <v>0</v>
      </c>
    </row>
    <row r="989" spans="3:6">
      <c r="C989" s="46"/>
      <c r="D989" s="46"/>
      <c r="E989" s="46"/>
      <c r="F989" s="54">
        <f t="shared" si="18"/>
        <v>0</v>
      </c>
    </row>
    <row r="990" spans="3:6">
      <c r="C990" s="46"/>
      <c r="D990" s="46"/>
      <c r="E990" s="46"/>
      <c r="F990" s="54">
        <f t="shared" si="18"/>
        <v>0</v>
      </c>
    </row>
    <row r="991" spans="3:6">
      <c r="C991" s="46"/>
      <c r="D991" s="46"/>
      <c r="E991" s="46"/>
      <c r="F991" s="54">
        <f t="shared" si="18"/>
        <v>0</v>
      </c>
    </row>
    <row r="992" spans="3:6">
      <c r="C992" s="46"/>
      <c r="D992" s="46"/>
      <c r="E992" s="46"/>
      <c r="F992" s="54">
        <f t="shared" si="18"/>
        <v>0</v>
      </c>
    </row>
    <row r="993" spans="2:6">
      <c r="C993" s="46"/>
      <c r="D993" s="46"/>
      <c r="E993" s="46"/>
      <c r="F993" s="54">
        <f t="shared" si="18"/>
        <v>0</v>
      </c>
    </row>
    <row r="994" spans="2:6">
      <c r="C994" s="46"/>
      <c r="D994" s="46"/>
      <c r="E994" s="46"/>
      <c r="F994" s="54">
        <f t="shared" si="18"/>
        <v>0</v>
      </c>
    </row>
    <row r="995" spans="2:6">
      <c r="C995" s="46"/>
      <c r="D995" s="46"/>
      <c r="E995" s="46"/>
      <c r="F995" s="54">
        <f t="shared" si="18"/>
        <v>0</v>
      </c>
    </row>
    <row r="996" spans="2:6">
      <c r="C996" s="46"/>
      <c r="D996" s="46"/>
      <c r="E996" s="46"/>
      <c r="F996" s="54">
        <f t="shared" si="18"/>
        <v>0</v>
      </c>
    </row>
    <row r="997" spans="2:6">
      <c r="C997" s="46"/>
      <c r="D997" s="46"/>
      <c r="E997" s="46"/>
      <c r="F997" s="54">
        <f t="shared" si="18"/>
        <v>0</v>
      </c>
    </row>
    <row r="998" spans="2:6">
      <c r="C998" s="46"/>
      <c r="D998" s="46"/>
      <c r="E998" s="46"/>
      <c r="F998" s="54">
        <f t="shared" si="18"/>
        <v>0</v>
      </c>
    </row>
    <row r="999" spans="2:6">
      <c r="C999" s="46"/>
      <c r="D999" s="46"/>
      <c r="E999" s="46"/>
      <c r="F999" s="54">
        <f t="shared" si="18"/>
        <v>0</v>
      </c>
    </row>
    <row r="1000" spans="2:6">
      <c r="C1000" s="46"/>
      <c r="D1000" s="46"/>
      <c r="E1000" s="46"/>
      <c r="F1000" s="54">
        <f t="shared" si="18"/>
        <v>0</v>
      </c>
    </row>
    <row r="1001" spans="2:6">
      <c r="C1001" s="46"/>
      <c r="D1001" s="46"/>
      <c r="E1001" s="46"/>
      <c r="F1001" s="54">
        <f t="shared" si="18"/>
        <v>0</v>
      </c>
    </row>
    <row r="1002" spans="2:6">
      <c r="B1002" s="6"/>
      <c r="C1002" s="46"/>
      <c r="D1002" s="46"/>
      <c r="E1002" s="46"/>
      <c r="F1002" s="54">
        <f t="shared" ref="F1002:F1007" si="19">E1002*E1002/(4*PI()*10000)</f>
        <v>0</v>
      </c>
    </row>
    <row r="1003" spans="2:6">
      <c r="C1003" s="46"/>
      <c r="D1003" s="46"/>
      <c r="E1003" s="46"/>
      <c r="F1003" s="54">
        <f t="shared" si="19"/>
        <v>0</v>
      </c>
    </row>
    <row r="1004" spans="2:6">
      <c r="C1004" s="46"/>
      <c r="D1004" s="46"/>
      <c r="E1004" s="46"/>
      <c r="F1004" s="54">
        <f t="shared" si="19"/>
        <v>0</v>
      </c>
    </row>
    <row r="1005" spans="2:6">
      <c r="C1005" s="46"/>
      <c r="D1005" s="46"/>
      <c r="E1005" s="46"/>
      <c r="F1005" s="54">
        <f t="shared" si="19"/>
        <v>0</v>
      </c>
    </row>
    <row r="1006" spans="2:6">
      <c r="C1006" s="46"/>
      <c r="D1006" s="46"/>
      <c r="E1006" s="46"/>
      <c r="F1006" s="54">
        <f t="shared" si="19"/>
        <v>0</v>
      </c>
    </row>
    <row r="1007" spans="2:6">
      <c r="C1007" s="46"/>
      <c r="D1007" s="46"/>
      <c r="E1007" s="46"/>
      <c r="F1007" s="54">
        <f t="shared" si="19"/>
        <v>0</v>
      </c>
    </row>
    <row r="1018" spans="4:6">
      <c r="D1018" s="8"/>
      <c r="E1018" s="8"/>
      <c r="F1018" s="14"/>
    </row>
  </sheetData>
  <sheetProtection algorithmName="SHA-512" hashValue="6r2eNWDnf4zsLvOGEYvjUr4kXmpBUTDiMrGPjPiwBmyaQU+xrNnjeDAVDomjRDCEh88VaIruZloq5+3s+PHQNQ==" saltValue="crO0wnAV7mo5qLF3JBoTZQ==" spinCount="100000" sheet="1" objects="1" scenarios="1"/>
  <sortState xmlns:xlrd2="http://schemas.microsoft.com/office/spreadsheetml/2017/richdata2" ref="C3:F1001">
    <sortCondition ref="C3:C1001"/>
  </sortState>
  <mergeCells count="1">
    <mergeCell ref="C1:E1"/>
  </mergeCells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7" r:id="rId4" name="ComboBox1">
          <controlPr autoLine="0" linkedCell="A2" r:id="rId5">
            <anchor moveWithCells="1">
              <from>
                <xdr:col>0</xdr:col>
                <xdr:colOff>15240</xdr:colOff>
                <xdr:row>0</xdr:row>
                <xdr:rowOff>152400</xdr:rowOff>
              </from>
              <to>
                <xdr:col>1</xdr:col>
                <xdr:colOff>220980</xdr:colOff>
                <xdr:row>0</xdr:row>
                <xdr:rowOff>381000</xdr:rowOff>
              </to>
            </anchor>
          </controlPr>
        </control>
      </mc:Choice>
      <mc:Fallback>
        <control shapeId="1027" r:id="rId4" name="ComboBox1"/>
      </mc:Fallback>
    </mc:AlternateContent>
    <mc:AlternateContent xmlns:mc="http://schemas.openxmlformats.org/markup-compatibility/2006">
      <mc:Choice Requires="x14">
        <control shapeId="1030" r:id="rId6" name="Button 6">
          <controlPr defaultSize="0" print="0" autoFill="0" autoPict="0" macro="[0]!clear_data">
            <anchor moveWithCells="1">
              <from>
                <xdr:col>0</xdr:col>
                <xdr:colOff>22860</xdr:colOff>
                <xdr:row>7</xdr:row>
                <xdr:rowOff>68580</xdr:rowOff>
              </from>
              <to>
                <xdr:col>0</xdr:col>
                <xdr:colOff>1135380</xdr:colOff>
                <xdr:row>8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7" name="Button 7">
          <controlPr defaultSize="0" print="0" autoFill="0" autoPict="0" macro="[0]!compute">
            <anchor moveWithCells="1">
              <from>
                <xdr:col>0</xdr:col>
                <xdr:colOff>30480</xdr:colOff>
                <xdr:row>9</xdr:row>
                <xdr:rowOff>99060</xdr:rowOff>
              </from>
              <to>
                <xdr:col>0</xdr:col>
                <xdr:colOff>1127760</xdr:colOff>
                <xdr:row>11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I424"/>
  <sheetViews>
    <sheetView topLeftCell="A406" workbookViewId="0">
      <selection sqref="A1:C412"/>
    </sheetView>
  </sheetViews>
  <sheetFormatPr defaultRowHeight="14.4"/>
  <sheetData>
    <row r="1" spans="1:9">
      <c r="A1" s="23" t="s">
        <v>16</v>
      </c>
      <c r="B1" s="24">
        <v>8.1999999999999993</v>
      </c>
      <c r="C1" s="24">
        <v>36</v>
      </c>
      <c r="F1" s="2"/>
      <c r="G1" s="2"/>
      <c r="H1" s="2"/>
      <c r="I1" s="2"/>
    </row>
    <row r="2" spans="1:9">
      <c r="A2" s="23" t="s">
        <v>17</v>
      </c>
      <c r="B2" s="25">
        <v>13.3</v>
      </c>
      <c r="C2" s="25">
        <v>80</v>
      </c>
    </row>
    <row r="3" spans="1:9">
      <c r="A3" s="23" t="s">
        <v>18</v>
      </c>
      <c r="B3" s="25">
        <v>6.4</v>
      </c>
      <c r="C3" s="25">
        <v>21</v>
      </c>
    </row>
    <row r="4" spans="1:9">
      <c r="A4" s="23" t="s">
        <v>16</v>
      </c>
      <c r="B4" s="26">
        <v>20.52</v>
      </c>
      <c r="C4" s="26">
        <v>34</v>
      </c>
    </row>
    <row r="5" spans="1:9">
      <c r="A5" s="23" t="s">
        <v>18</v>
      </c>
      <c r="B5" s="25">
        <v>0</v>
      </c>
      <c r="C5" s="25">
        <v>38</v>
      </c>
    </row>
    <row r="6" spans="1:9">
      <c r="A6" s="23" t="s">
        <v>19</v>
      </c>
      <c r="B6" s="27">
        <v>7.8</v>
      </c>
      <c r="C6" s="27">
        <v>22</v>
      </c>
    </row>
    <row r="7" spans="1:9">
      <c r="A7" s="23" t="s">
        <v>20</v>
      </c>
      <c r="B7" s="25">
        <v>0</v>
      </c>
      <c r="C7" s="25">
        <v>17</v>
      </c>
    </row>
    <row r="8" spans="1:9">
      <c r="A8" s="23" t="s">
        <v>21</v>
      </c>
      <c r="B8" s="25">
        <v>4.8499999999999996</v>
      </c>
      <c r="C8" s="25">
        <v>16</v>
      </c>
    </row>
    <row r="9" spans="1:9">
      <c r="A9" s="23" t="s">
        <v>16</v>
      </c>
      <c r="B9" s="26">
        <v>2.4</v>
      </c>
      <c r="C9" s="26">
        <v>49</v>
      </c>
    </row>
    <row r="10" spans="1:9">
      <c r="A10" s="28" t="s">
        <v>22</v>
      </c>
      <c r="B10" s="29">
        <v>6.9</v>
      </c>
      <c r="C10" s="29">
        <v>70</v>
      </c>
    </row>
    <row r="11" spans="1:9">
      <c r="A11" s="23" t="s">
        <v>18</v>
      </c>
      <c r="B11" s="25">
        <v>2.15</v>
      </c>
      <c r="C11" s="25">
        <v>30</v>
      </c>
    </row>
    <row r="12" spans="1:9">
      <c r="A12" s="23" t="s">
        <v>23</v>
      </c>
      <c r="B12" s="25">
        <v>5.6</v>
      </c>
      <c r="C12" s="25">
        <v>35</v>
      </c>
    </row>
    <row r="13" spans="1:9">
      <c r="A13" s="23" t="s">
        <v>22</v>
      </c>
      <c r="B13" s="25">
        <v>1.8</v>
      </c>
      <c r="C13" s="25">
        <v>71</v>
      </c>
    </row>
    <row r="14" spans="1:9">
      <c r="A14" s="23" t="s">
        <v>16</v>
      </c>
      <c r="B14" s="24">
        <v>9.3000000000000007</v>
      </c>
      <c r="C14" s="24">
        <v>14</v>
      </c>
    </row>
    <row r="15" spans="1:9">
      <c r="A15" s="23" t="s">
        <v>20</v>
      </c>
      <c r="B15" s="25">
        <v>4.2</v>
      </c>
      <c r="C15" s="25">
        <v>21</v>
      </c>
    </row>
    <row r="16" spans="1:9">
      <c r="A16" s="23" t="s">
        <v>21</v>
      </c>
      <c r="B16" s="25">
        <v>2.6</v>
      </c>
      <c r="C16" s="25">
        <v>33</v>
      </c>
    </row>
    <row r="17" spans="1:3">
      <c r="A17" s="23" t="s">
        <v>23</v>
      </c>
      <c r="B17" s="30">
        <v>1</v>
      </c>
      <c r="C17" s="25">
        <v>51</v>
      </c>
    </row>
    <row r="18" spans="1:3">
      <c r="A18" s="23" t="s">
        <v>16</v>
      </c>
      <c r="B18" s="26">
        <v>4.45</v>
      </c>
      <c r="C18" s="26">
        <v>66</v>
      </c>
    </row>
    <row r="19" spans="1:3">
      <c r="A19" s="23" t="s">
        <v>21</v>
      </c>
      <c r="B19" s="25">
        <v>5.55</v>
      </c>
      <c r="C19" s="25">
        <v>23</v>
      </c>
    </row>
    <row r="20" spans="1:3">
      <c r="A20" s="23" t="s">
        <v>16</v>
      </c>
      <c r="B20" s="26">
        <v>6.7</v>
      </c>
      <c r="C20" s="26">
        <v>19</v>
      </c>
    </row>
    <row r="21" spans="1:3">
      <c r="A21" s="23" t="s">
        <v>16</v>
      </c>
      <c r="B21" s="26">
        <v>1.55</v>
      </c>
      <c r="C21" s="26">
        <v>48</v>
      </c>
    </row>
    <row r="22" spans="1:3">
      <c r="A22" s="23" t="s">
        <v>23</v>
      </c>
      <c r="B22" s="25">
        <v>1.52</v>
      </c>
      <c r="C22" s="25">
        <v>29</v>
      </c>
    </row>
    <row r="23" spans="1:3">
      <c r="A23" s="23" t="s">
        <v>16</v>
      </c>
      <c r="B23" s="26">
        <v>6.36</v>
      </c>
      <c r="C23" s="26">
        <v>72</v>
      </c>
    </row>
    <row r="24" spans="1:3">
      <c r="A24" s="23" t="s">
        <v>16</v>
      </c>
      <c r="B24" s="26">
        <v>2.15</v>
      </c>
      <c r="C24" s="26">
        <v>67</v>
      </c>
    </row>
    <row r="25" spans="1:3">
      <c r="A25" s="23" t="s">
        <v>23</v>
      </c>
      <c r="B25" s="25">
        <v>6.1</v>
      </c>
      <c r="C25" s="25">
        <v>24</v>
      </c>
    </row>
    <row r="26" spans="1:3">
      <c r="A26" s="23" t="s">
        <v>20</v>
      </c>
      <c r="B26" s="25">
        <v>3.9</v>
      </c>
      <c r="C26" s="25">
        <v>16</v>
      </c>
    </row>
    <row r="27" spans="1:3">
      <c r="A27" s="23" t="s">
        <v>23</v>
      </c>
      <c r="B27" s="25">
        <v>5.85</v>
      </c>
      <c r="C27" s="25">
        <v>81</v>
      </c>
    </row>
    <row r="28" spans="1:3">
      <c r="A28" s="23" t="s">
        <v>23</v>
      </c>
      <c r="B28" s="25">
        <v>5.87</v>
      </c>
      <c r="C28" s="25">
        <v>88</v>
      </c>
    </row>
    <row r="29" spans="1:3">
      <c r="A29" s="23" t="s">
        <v>24</v>
      </c>
      <c r="B29" s="25">
        <v>15.8</v>
      </c>
      <c r="C29" s="25">
        <v>14</v>
      </c>
    </row>
    <row r="30" spans="1:3">
      <c r="A30" s="23" t="s">
        <v>16</v>
      </c>
      <c r="B30" s="26">
        <v>3.65</v>
      </c>
      <c r="C30" s="26">
        <v>27</v>
      </c>
    </row>
    <row r="31" spans="1:3">
      <c r="A31" s="23" t="s">
        <v>25</v>
      </c>
      <c r="B31" s="25">
        <v>5.65</v>
      </c>
      <c r="C31" s="25">
        <v>170</v>
      </c>
    </row>
    <row r="32" spans="1:3">
      <c r="A32" s="23" t="s">
        <v>21</v>
      </c>
      <c r="B32" s="25">
        <v>8.85</v>
      </c>
      <c r="C32" s="25">
        <v>47</v>
      </c>
    </row>
    <row r="33" spans="1:3">
      <c r="A33" s="23" t="s">
        <v>20</v>
      </c>
      <c r="B33" s="25">
        <v>3.9</v>
      </c>
      <c r="C33" s="25">
        <v>34</v>
      </c>
    </row>
    <row r="34" spans="1:3">
      <c r="A34" s="23" t="s">
        <v>16</v>
      </c>
      <c r="B34" s="26">
        <v>4.55</v>
      </c>
      <c r="C34" s="26">
        <v>15</v>
      </c>
    </row>
    <row r="35" spans="1:3">
      <c r="A35" s="23" t="s">
        <v>22</v>
      </c>
      <c r="B35" s="25">
        <v>3.3</v>
      </c>
      <c r="C35" s="25">
        <v>18</v>
      </c>
    </row>
    <row r="36" spans="1:3">
      <c r="A36" s="23" t="s">
        <v>21</v>
      </c>
      <c r="B36" s="25">
        <v>6.42</v>
      </c>
      <c r="C36" s="25">
        <v>15</v>
      </c>
    </row>
    <row r="37" spans="1:3">
      <c r="A37" s="23" t="s">
        <v>16</v>
      </c>
      <c r="B37" s="25">
        <v>11.24</v>
      </c>
      <c r="C37" s="25">
        <v>20</v>
      </c>
    </row>
    <row r="38" spans="1:3">
      <c r="A38" s="23" t="s">
        <v>23</v>
      </c>
      <c r="B38" s="25">
        <v>8.6999999999999993</v>
      </c>
      <c r="C38" s="25">
        <v>16</v>
      </c>
    </row>
    <row r="39" spans="1:3">
      <c r="A39" s="23" t="s">
        <v>16</v>
      </c>
      <c r="B39" s="25">
        <v>5.7</v>
      </c>
      <c r="C39" s="25">
        <v>25</v>
      </c>
    </row>
    <row r="40" spans="1:3">
      <c r="A40" s="23" t="s">
        <v>16</v>
      </c>
      <c r="B40" s="25">
        <v>2.9</v>
      </c>
      <c r="C40" s="25">
        <v>48</v>
      </c>
    </row>
    <row r="41" spans="1:3">
      <c r="A41" s="23" t="s">
        <v>21</v>
      </c>
      <c r="B41" s="25">
        <v>7.13</v>
      </c>
      <c r="C41" s="25">
        <v>18</v>
      </c>
    </row>
    <row r="42" spans="1:3">
      <c r="A42" s="23" t="s">
        <v>24</v>
      </c>
      <c r="B42" s="25">
        <v>4.0999999999999996</v>
      </c>
      <c r="C42" s="25">
        <v>46</v>
      </c>
    </row>
    <row r="43" spans="1:3">
      <c r="A43" s="23" t="s">
        <v>16</v>
      </c>
      <c r="B43" s="25">
        <v>3.8</v>
      </c>
      <c r="C43" s="25">
        <v>51</v>
      </c>
    </row>
    <row r="44" spans="1:3">
      <c r="A44" s="23" t="s">
        <v>21</v>
      </c>
      <c r="B44" s="25">
        <v>10.37</v>
      </c>
      <c r="C44" s="25">
        <v>15</v>
      </c>
    </row>
    <row r="45" spans="1:3">
      <c r="A45" s="28" t="s">
        <v>23</v>
      </c>
      <c r="B45" s="29">
        <v>14.5</v>
      </c>
      <c r="C45" s="29">
        <v>15</v>
      </c>
    </row>
    <row r="46" spans="1:3">
      <c r="A46" s="23" t="s">
        <v>24</v>
      </c>
      <c r="B46" s="25">
        <v>3.96</v>
      </c>
      <c r="C46" s="25">
        <v>15</v>
      </c>
    </row>
    <row r="47" spans="1:3">
      <c r="A47" s="23" t="s">
        <v>21</v>
      </c>
      <c r="B47" s="25">
        <v>8.44</v>
      </c>
      <c r="C47" s="25">
        <v>20</v>
      </c>
    </row>
    <row r="48" spans="1:3">
      <c r="A48" s="23" t="s">
        <v>16</v>
      </c>
      <c r="B48" s="25">
        <v>2.85</v>
      </c>
      <c r="C48" s="25">
        <v>54</v>
      </c>
    </row>
    <row r="49" spans="1:3">
      <c r="A49" s="23" t="s">
        <v>16</v>
      </c>
      <c r="B49" s="25">
        <v>10.4</v>
      </c>
      <c r="C49" s="25">
        <v>103</v>
      </c>
    </row>
    <row r="50" spans="1:3">
      <c r="A50" s="23" t="s">
        <v>21</v>
      </c>
      <c r="B50" s="25">
        <v>2.25</v>
      </c>
      <c r="C50" s="25">
        <v>20</v>
      </c>
    </row>
    <row r="51" spans="1:3">
      <c r="A51" s="23" t="s">
        <v>19</v>
      </c>
      <c r="B51" s="25">
        <v>1.2</v>
      </c>
      <c r="C51" s="25">
        <v>69</v>
      </c>
    </row>
    <row r="52" spans="1:3">
      <c r="A52" s="23" t="s">
        <v>16</v>
      </c>
      <c r="B52" s="25">
        <v>6.5</v>
      </c>
      <c r="C52" s="25">
        <v>80</v>
      </c>
    </row>
    <row r="53" spans="1:3">
      <c r="A53" s="23" t="s">
        <v>16</v>
      </c>
      <c r="B53" s="25">
        <v>7.27</v>
      </c>
      <c r="C53" s="25">
        <v>50</v>
      </c>
    </row>
    <row r="54" spans="1:3">
      <c r="A54" s="23" t="s">
        <v>22</v>
      </c>
      <c r="B54" s="25">
        <v>16.100000000000001</v>
      </c>
      <c r="C54" s="25">
        <v>27</v>
      </c>
    </row>
    <row r="55" spans="1:3">
      <c r="A55" s="23" t="s">
        <v>19</v>
      </c>
      <c r="B55" s="25">
        <v>10.43</v>
      </c>
      <c r="C55" s="25">
        <v>25</v>
      </c>
    </row>
    <row r="56" spans="1:3">
      <c r="A56" s="23" t="s">
        <v>16</v>
      </c>
      <c r="B56" s="25">
        <v>8.2799999999999994</v>
      </c>
      <c r="C56" s="25">
        <v>132</v>
      </c>
    </row>
    <row r="57" spans="1:3">
      <c r="A57" s="23" t="s">
        <v>23</v>
      </c>
      <c r="B57" s="25">
        <v>8.85</v>
      </c>
      <c r="C57" s="25">
        <v>31</v>
      </c>
    </row>
    <row r="58" spans="1:3">
      <c r="A58" s="23" t="s">
        <v>16</v>
      </c>
      <c r="B58" s="25">
        <v>5.83</v>
      </c>
      <c r="C58" s="25">
        <v>107</v>
      </c>
    </row>
    <row r="59" spans="1:3">
      <c r="A59" s="23" t="s">
        <v>18</v>
      </c>
      <c r="B59" s="25">
        <v>13.2</v>
      </c>
      <c r="C59" s="25">
        <v>74</v>
      </c>
    </row>
    <row r="60" spans="1:3">
      <c r="A60" s="23" t="s">
        <v>16</v>
      </c>
      <c r="B60" s="25">
        <v>7.5</v>
      </c>
      <c r="C60" s="25">
        <v>25</v>
      </c>
    </row>
    <row r="61" spans="1:3">
      <c r="A61" s="23" t="s">
        <v>16</v>
      </c>
      <c r="B61" s="29">
        <v>8.9</v>
      </c>
      <c r="C61" s="29">
        <v>30</v>
      </c>
    </row>
    <row r="62" spans="1:3">
      <c r="A62" s="23" t="s">
        <v>16</v>
      </c>
      <c r="B62" s="25">
        <v>4.26</v>
      </c>
      <c r="C62" s="25">
        <v>19</v>
      </c>
    </row>
    <row r="63" spans="1:3">
      <c r="A63" s="23" t="s">
        <v>18</v>
      </c>
      <c r="B63" s="25">
        <v>2.15</v>
      </c>
      <c r="C63" s="25">
        <v>54</v>
      </c>
    </row>
    <row r="64" spans="1:3">
      <c r="A64" s="23" t="s">
        <v>16</v>
      </c>
      <c r="B64" s="29">
        <v>7.48</v>
      </c>
      <c r="C64" s="29">
        <v>91</v>
      </c>
    </row>
    <row r="65" spans="1:3">
      <c r="A65" s="23" t="s">
        <v>16</v>
      </c>
      <c r="B65" s="25">
        <v>8</v>
      </c>
      <c r="C65" s="25">
        <v>64</v>
      </c>
    </row>
    <row r="66" spans="1:3">
      <c r="A66" s="23" t="s">
        <v>21</v>
      </c>
      <c r="B66" s="25">
        <v>2.5499999999999998</v>
      </c>
      <c r="C66" s="25">
        <v>95</v>
      </c>
    </row>
    <row r="67" spans="1:3">
      <c r="A67" s="23" t="s">
        <v>16</v>
      </c>
      <c r="B67" s="25">
        <v>5.7</v>
      </c>
      <c r="C67" s="25">
        <v>59</v>
      </c>
    </row>
    <row r="68" spans="1:3">
      <c r="A68" s="23" t="s">
        <v>18</v>
      </c>
      <c r="B68" s="25">
        <v>18.64</v>
      </c>
      <c r="C68" s="25">
        <v>43</v>
      </c>
    </row>
    <row r="69" spans="1:3">
      <c r="A69" s="23" t="s">
        <v>18</v>
      </c>
      <c r="B69" s="25">
        <v>2</v>
      </c>
      <c r="C69" s="25">
        <v>64</v>
      </c>
    </row>
    <row r="70" spans="1:3">
      <c r="A70" s="23" t="s">
        <v>16</v>
      </c>
      <c r="B70" s="29">
        <v>22.93</v>
      </c>
      <c r="C70" s="29">
        <v>77</v>
      </c>
    </row>
    <row r="71" spans="1:3">
      <c r="A71" s="23" t="s">
        <v>16</v>
      </c>
      <c r="B71" s="25">
        <v>7.45</v>
      </c>
      <c r="C71" s="25">
        <v>112</v>
      </c>
    </row>
    <row r="72" spans="1:3">
      <c r="A72" s="23" t="s">
        <v>16</v>
      </c>
      <c r="B72" s="25">
        <v>2.2999999999999998</v>
      </c>
      <c r="C72" s="25">
        <v>96</v>
      </c>
    </row>
    <row r="73" spans="1:3">
      <c r="A73" s="23" t="s">
        <v>16</v>
      </c>
      <c r="B73" s="25">
        <v>8.9600000000000009</v>
      </c>
      <c r="C73" s="25">
        <v>19</v>
      </c>
    </row>
    <row r="74" spans="1:3">
      <c r="A74" s="23" t="s">
        <v>19</v>
      </c>
      <c r="B74" s="25">
        <v>6.47</v>
      </c>
      <c r="C74" s="25">
        <v>149</v>
      </c>
    </row>
    <row r="75" spans="1:3">
      <c r="A75" s="23" t="s">
        <v>19</v>
      </c>
      <c r="B75" s="25">
        <v>1.3</v>
      </c>
      <c r="C75" s="25">
        <v>18</v>
      </c>
    </row>
    <row r="76" spans="1:3">
      <c r="A76" s="23" t="s">
        <v>20</v>
      </c>
      <c r="B76" s="25">
        <v>9.5</v>
      </c>
      <c r="C76" s="25">
        <v>43</v>
      </c>
    </row>
    <row r="77" spans="1:3">
      <c r="A77" s="23" t="s">
        <v>22</v>
      </c>
      <c r="B77" s="25">
        <v>1.55</v>
      </c>
      <c r="C77" s="25">
        <v>99</v>
      </c>
    </row>
    <row r="78" spans="1:3">
      <c r="A78" s="23" t="s">
        <v>22</v>
      </c>
      <c r="B78" s="25">
        <v>4.95</v>
      </c>
      <c r="C78" s="25">
        <v>160</v>
      </c>
    </row>
    <row r="79" spans="1:3">
      <c r="A79" s="23" t="s">
        <v>22</v>
      </c>
      <c r="B79" s="25">
        <v>6.6</v>
      </c>
      <c r="C79" s="25">
        <v>96</v>
      </c>
    </row>
    <row r="80" spans="1:3">
      <c r="A80" s="23" t="s">
        <v>16</v>
      </c>
      <c r="B80" s="26">
        <v>9</v>
      </c>
      <c r="C80" s="26">
        <v>29</v>
      </c>
    </row>
    <row r="81" spans="1:3">
      <c r="A81" s="23" t="s">
        <v>21</v>
      </c>
      <c r="B81" s="26">
        <v>6.7</v>
      </c>
      <c r="C81" s="26">
        <v>22</v>
      </c>
    </row>
    <row r="82" spans="1:3">
      <c r="A82" s="23" t="s">
        <v>19</v>
      </c>
      <c r="B82" s="25">
        <v>7</v>
      </c>
      <c r="C82" s="25">
        <v>130</v>
      </c>
    </row>
    <row r="83" spans="1:3">
      <c r="A83" s="23" t="s">
        <v>16</v>
      </c>
      <c r="B83" s="26">
        <v>8.1999999999999993</v>
      </c>
      <c r="C83" s="26">
        <v>86</v>
      </c>
    </row>
    <row r="84" spans="1:3">
      <c r="A84" s="23" t="s">
        <v>17</v>
      </c>
      <c r="B84" s="25">
        <v>2.66</v>
      </c>
      <c r="C84" s="25">
        <v>48</v>
      </c>
    </row>
    <row r="85" spans="1:3">
      <c r="A85" s="23" t="s">
        <v>20</v>
      </c>
      <c r="B85" s="25">
        <v>3.58</v>
      </c>
      <c r="C85" s="25">
        <v>65</v>
      </c>
    </row>
    <row r="86" spans="1:3">
      <c r="A86" s="23" t="s">
        <v>21</v>
      </c>
      <c r="B86" s="26">
        <v>2.62</v>
      </c>
      <c r="C86" s="26">
        <v>22</v>
      </c>
    </row>
    <row r="87" spans="1:3">
      <c r="A87" s="28" t="s">
        <v>23</v>
      </c>
      <c r="B87" s="27">
        <v>13.6</v>
      </c>
      <c r="C87" s="27">
        <v>31</v>
      </c>
    </row>
    <row r="88" spans="1:3">
      <c r="A88" s="23" t="s">
        <v>19</v>
      </c>
      <c r="B88" s="25">
        <v>3.6</v>
      </c>
      <c r="C88" s="25">
        <v>60</v>
      </c>
    </row>
    <row r="89" spans="1:3">
      <c r="A89" s="28" t="s">
        <v>18</v>
      </c>
      <c r="B89" s="27">
        <v>14.83</v>
      </c>
      <c r="C89" s="27">
        <v>83</v>
      </c>
    </row>
    <row r="90" spans="1:3">
      <c r="A90" s="23" t="s">
        <v>16</v>
      </c>
      <c r="B90" s="26">
        <v>8</v>
      </c>
      <c r="C90" s="26">
        <v>90</v>
      </c>
    </row>
    <row r="91" spans="1:3">
      <c r="A91" s="28" t="s">
        <v>18</v>
      </c>
      <c r="B91" s="27">
        <v>14.46</v>
      </c>
      <c r="C91" s="27">
        <v>61</v>
      </c>
    </row>
    <row r="92" spans="1:3">
      <c r="A92" s="23" t="s">
        <v>17</v>
      </c>
      <c r="B92" s="25">
        <v>7.5</v>
      </c>
      <c r="C92" s="25">
        <v>20</v>
      </c>
    </row>
    <row r="93" spans="1:3">
      <c r="A93" s="23" t="s">
        <v>18</v>
      </c>
      <c r="B93" s="25">
        <v>8.6999999999999993</v>
      </c>
      <c r="C93" s="25">
        <v>187</v>
      </c>
    </row>
    <row r="94" spans="1:3">
      <c r="A94" s="23" t="s">
        <v>17</v>
      </c>
      <c r="B94" s="25">
        <v>5.94</v>
      </c>
      <c r="C94" s="25">
        <v>23</v>
      </c>
    </row>
    <row r="95" spans="1:3">
      <c r="A95" s="23" t="s">
        <v>16</v>
      </c>
      <c r="B95" s="25">
        <v>10.7</v>
      </c>
      <c r="C95" s="26">
        <v>72</v>
      </c>
    </row>
    <row r="96" spans="1:3">
      <c r="A96" s="23" t="s">
        <v>21</v>
      </c>
      <c r="B96" s="26">
        <v>17.7</v>
      </c>
      <c r="C96" s="26">
        <v>15</v>
      </c>
    </row>
    <row r="97" spans="1:3">
      <c r="A97" s="23" t="s">
        <v>17</v>
      </c>
      <c r="B97" s="25">
        <v>5.6</v>
      </c>
      <c r="C97" s="25">
        <v>80</v>
      </c>
    </row>
    <row r="98" spans="1:3">
      <c r="A98" s="23" t="s">
        <v>19</v>
      </c>
      <c r="B98" s="25">
        <v>4.9400000000000004</v>
      </c>
      <c r="C98" s="25">
        <v>78</v>
      </c>
    </row>
    <row r="99" spans="1:3">
      <c r="A99" s="23" t="s">
        <v>19</v>
      </c>
      <c r="B99" s="25">
        <v>4.58</v>
      </c>
      <c r="C99" s="25">
        <v>82</v>
      </c>
    </row>
    <row r="100" spans="1:3">
      <c r="A100" s="23" t="s">
        <v>16</v>
      </c>
      <c r="B100" s="26">
        <v>2.84</v>
      </c>
      <c r="C100" s="26">
        <v>26</v>
      </c>
    </row>
    <row r="101" spans="1:3">
      <c r="A101" s="23" t="s">
        <v>18</v>
      </c>
      <c r="B101" s="25">
        <v>7.27</v>
      </c>
      <c r="C101" s="25">
        <v>100</v>
      </c>
    </row>
    <row r="102" spans="1:3">
      <c r="A102" s="23" t="s">
        <v>16</v>
      </c>
      <c r="B102" s="26">
        <v>10.199999999999999</v>
      </c>
      <c r="C102" s="26">
        <v>84</v>
      </c>
    </row>
    <row r="103" spans="1:3">
      <c r="A103" s="23" t="s">
        <v>16</v>
      </c>
      <c r="B103" s="26">
        <v>7.6</v>
      </c>
      <c r="C103" s="26">
        <v>57</v>
      </c>
    </row>
    <row r="104" spans="1:3">
      <c r="A104" s="23" t="s">
        <v>16</v>
      </c>
      <c r="B104" s="26">
        <v>2.1</v>
      </c>
      <c r="C104" s="26">
        <v>63</v>
      </c>
    </row>
    <row r="105" spans="1:3">
      <c r="A105" s="23" t="s">
        <v>19</v>
      </c>
      <c r="B105" s="25">
        <v>8.5500000000000007</v>
      </c>
      <c r="C105" s="25">
        <v>60</v>
      </c>
    </row>
    <row r="106" spans="1:3">
      <c r="A106" s="23" t="s">
        <v>16</v>
      </c>
      <c r="B106" s="26">
        <v>2.15</v>
      </c>
      <c r="C106" s="26">
        <v>70</v>
      </c>
    </row>
    <row r="107" spans="1:3">
      <c r="A107" s="23" t="s">
        <v>16</v>
      </c>
      <c r="B107" s="26">
        <v>8.23</v>
      </c>
      <c r="C107" s="26">
        <v>75</v>
      </c>
    </row>
    <row r="108" spans="1:3">
      <c r="A108" s="23" t="s">
        <v>16</v>
      </c>
      <c r="B108" s="26">
        <v>10.15</v>
      </c>
      <c r="C108" s="26">
        <v>71</v>
      </c>
    </row>
    <row r="109" spans="1:3">
      <c r="A109" s="23" t="s">
        <v>18</v>
      </c>
      <c r="B109" s="25">
        <v>5.6</v>
      </c>
      <c r="C109" s="25">
        <v>60</v>
      </c>
    </row>
    <row r="110" spans="1:3">
      <c r="A110" s="23" t="s">
        <v>21</v>
      </c>
      <c r="B110" s="26">
        <v>5.8</v>
      </c>
      <c r="C110" s="26">
        <v>129</v>
      </c>
    </row>
    <row r="111" spans="1:3">
      <c r="A111" s="23" t="s">
        <v>22</v>
      </c>
      <c r="B111" s="25">
        <v>4.9000000000000004</v>
      </c>
      <c r="C111" s="25">
        <v>206</v>
      </c>
    </row>
    <row r="112" spans="1:3">
      <c r="A112" s="23" t="s">
        <v>16</v>
      </c>
      <c r="B112" s="26">
        <v>3.8</v>
      </c>
      <c r="C112" s="26">
        <v>45</v>
      </c>
    </row>
    <row r="113" spans="1:3">
      <c r="A113" s="23" t="s">
        <v>16</v>
      </c>
      <c r="B113" s="26">
        <v>8.73</v>
      </c>
      <c r="C113" s="26">
        <v>15</v>
      </c>
    </row>
    <row r="114" spans="1:3">
      <c r="A114" s="23" t="s">
        <v>16</v>
      </c>
      <c r="B114" s="26">
        <v>1.4</v>
      </c>
      <c r="C114" s="26">
        <v>70</v>
      </c>
    </row>
    <row r="115" spans="1:3">
      <c r="A115" s="23" t="s">
        <v>16</v>
      </c>
      <c r="B115" s="25">
        <v>3.95</v>
      </c>
      <c r="C115" s="26">
        <v>80</v>
      </c>
    </row>
    <row r="116" spans="1:3">
      <c r="A116" s="23" t="s">
        <v>22</v>
      </c>
      <c r="B116" s="25">
        <v>4.5999999999999996</v>
      </c>
      <c r="C116" s="25">
        <v>54</v>
      </c>
    </row>
    <row r="117" spans="1:3">
      <c r="A117" s="23" t="s">
        <v>16</v>
      </c>
      <c r="B117" s="25">
        <v>3.25</v>
      </c>
      <c r="C117" s="25">
        <v>38</v>
      </c>
    </row>
    <row r="118" spans="1:3">
      <c r="A118" s="23" t="s">
        <v>16</v>
      </c>
      <c r="B118" s="25">
        <v>1.4</v>
      </c>
      <c r="C118" s="25">
        <v>51</v>
      </c>
    </row>
    <row r="119" spans="1:3">
      <c r="A119" s="23" t="s">
        <v>22</v>
      </c>
      <c r="B119" s="25">
        <v>5.9</v>
      </c>
      <c r="C119" s="25">
        <v>58</v>
      </c>
    </row>
    <row r="120" spans="1:3">
      <c r="A120" s="23" t="s">
        <v>22</v>
      </c>
      <c r="B120" s="25">
        <v>3.48</v>
      </c>
      <c r="C120" s="25">
        <v>39</v>
      </c>
    </row>
    <row r="121" spans="1:3">
      <c r="A121" s="23" t="s">
        <v>16</v>
      </c>
      <c r="B121" s="25">
        <v>10.6</v>
      </c>
      <c r="C121" s="25">
        <v>48</v>
      </c>
    </row>
    <row r="122" spans="1:3">
      <c r="A122" s="23" t="s">
        <v>22</v>
      </c>
      <c r="B122" s="25">
        <v>3.9</v>
      </c>
      <c r="C122" s="25">
        <v>83</v>
      </c>
    </row>
    <row r="123" spans="1:3">
      <c r="A123" s="23" t="s">
        <v>16</v>
      </c>
      <c r="B123" s="25">
        <v>1.65</v>
      </c>
      <c r="C123" s="25">
        <v>60</v>
      </c>
    </row>
    <row r="124" spans="1:3">
      <c r="A124" s="28" t="s">
        <v>22</v>
      </c>
      <c r="B124" s="27">
        <v>14.75</v>
      </c>
      <c r="C124" s="27">
        <v>170</v>
      </c>
    </row>
    <row r="125" spans="1:3">
      <c r="A125" s="23" t="s">
        <v>16</v>
      </c>
      <c r="B125" s="25">
        <v>2.2999999999999998</v>
      </c>
      <c r="C125" s="25">
        <v>37</v>
      </c>
    </row>
    <row r="126" spans="1:3">
      <c r="A126" s="23" t="s">
        <v>18</v>
      </c>
      <c r="B126" s="25">
        <v>1.72</v>
      </c>
      <c r="C126" s="25">
        <v>41</v>
      </c>
    </row>
    <row r="127" spans="1:3">
      <c r="A127" s="23" t="s">
        <v>16</v>
      </c>
      <c r="B127" s="25">
        <v>2.2999999999999998</v>
      </c>
      <c r="C127" s="25">
        <v>18</v>
      </c>
    </row>
    <row r="128" spans="1:3">
      <c r="A128" s="23" t="s">
        <v>21</v>
      </c>
      <c r="B128" s="25">
        <v>7.15</v>
      </c>
      <c r="C128" s="25">
        <v>57</v>
      </c>
    </row>
    <row r="129" spans="1:3">
      <c r="A129" s="23" t="s">
        <v>18</v>
      </c>
      <c r="B129" s="25">
        <v>4.34</v>
      </c>
      <c r="C129" s="25">
        <v>36</v>
      </c>
    </row>
    <row r="130" spans="1:3">
      <c r="A130" s="23" t="s">
        <v>16</v>
      </c>
      <c r="B130" s="25">
        <v>1.7</v>
      </c>
      <c r="C130" s="25">
        <v>53</v>
      </c>
    </row>
    <row r="131" spans="1:3">
      <c r="A131" s="23" t="s">
        <v>16</v>
      </c>
      <c r="B131" s="25">
        <v>5.76</v>
      </c>
      <c r="C131" s="25">
        <v>23</v>
      </c>
    </row>
    <row r="132" spans="1:3">
      <c r="A132" s="23" t="s">
        <v>22</v>
      </c>
      <c r="B132" s="25">
        <v>3.6</v>
      </c>
      <c r="C132" s="25">
        <v>130</v>
      </c>
    </row>
    <row r="133" spans="1:3">
      <c r="A133" s="23" t="s">
        <v>16</v>
      </c>
      <c r="B133" s="25">
        <v>1</v>
      </c>
      <c r="C133" s="25">
        <v>33</v>
      </c>
    </row>
    <row r="134" spans="1:3">
      <c r="A134" s="23" t="s">
        <v>16</v>
      </c>
      <c r="B134" s="25">
        <v>4.7</v>
      </c>
      <c r="C134" s="25">
        <v>37</v>
      </c>
    </row>
    <row r="135" spans="1:3">
      <c r="A135" s="23" t="s">
        <v>16</v>
      </c>
      <c r="B135" s="25">
        <v>2.4</v>
      </c>
      <c r="C135" s="25">
        <v>34</v>
      </c>
    </row>
    <row r="136" spans="1:3">
      <c r="A136" s="23" t="s">
        <v>16</v>
      </c>
      <c r="B136" s="25">
        <v>4.2699999999999996</v>
      </c>
      <c r="C136" s="25">
        <v>48</v>
      </c>
    </row>
    <row r="137" spans="1:3">
      <c r="A137" s="23" t="s">
        <v>16</v>
      </c>
      <c r="B137" s="25">
        <v>9.6999999999999993</v>
      </c>
      <c r="C137" s="25">
        <v>59</v>
      </c>
    </row>
    <row r="138" spans="1:3">
      <c r="A138" s="23" t="s">
        <v>16</v>
      </c>
      <c r="B138" s="27">
        <v>6.6</v>
      </c>
      <c r="C138" s="27">
        <v>30</v>
      </c>
    </row>
    <row r="139" spans="1:3">
      <c r="A139" s="23" t="s">
        <v>18</v>
      </c>
      <c r="B139" s="25">
        <v>3.39</v>
      </c>
      <c r="C139" s="25">
        <v>79</v>
      </c>
    </row>
    <row r="140" spans="1:3">
      <c r="A140" s="23" t="s">
        <v>21</v>
      </c>
      <c r="B140" s="25">
        <v>5.86</v>
      </c>
      <c r="C140" s="25">
        <v>61</v>
      </c>
    </row>
    <row r="141" spans="1:3">
      <c r="A141" s="23" t="s">
        <v>21</v>
      </c>
      <c r="B141" s="25">
        <v>9.8000000000000007</v>
      </c>
      <c r="C141" s="25">
        <v>17</v>
      </c>
    </row>
    <row r="142" spans="1:3">
      <c r="A142" s="23" t="s">
        <v>21</v>
      </c>
      <c r="B142" s="25">
        <v>11.5</v>
      </c>
      <c r="C142" s="25">
        <v>16</v>
      </c>
    </row>
    <row r="143" spans="1:3">
      <c r="A143" s="23" t="s">
        <v>21</v>
      </c>
      <c r="B143" s="25">
        <v>13.2</v>
      </c>
      <c r="C143" s="25">
        <v>95</v>
      </c>
    </row>
    <row r="144" spans="1:3">
      <c r="A144" s="23" t="s">
        <v>16</v>
      </c>
      <c r="B144" s="25">
        <v>12.7</v>
      </c>
      <c r="C144" s="25">
        <v>53</v>
      </c>
    </row>
    <row r="145" spans="1:3">
      <c r="A145" s="28" t="s">
        <v>21</v>
      </c>
      <c r="B145" s="27">
        <v>7.65</v>
      </c>
      <c r="C145" s="27">
        <v>55</v>
      </c>
    </row>
    <row r="146" spans="1:3">
      <c r="A146" s="28" t="s">
        <v>18</v>
      </c>
      <c r="B146" s="27">
        <v>14.65</v>
      </c>
      <c r="C146" s="27">
        <v>64</v>
      </c>
    </row>
    <row r="147" spans="1:3">
      <c r="A147" s="23" t="s">
        <v>21</v>
      </c>
      <c r="B147" s="25">
        <v>17.170000000000002</v>
      </c>
      <c r="C147" s="25">
        <v>130</v>
      </c>
    </row>
    <row r="148" spans="1:3">
      <c r="A148" s="23" t="s">
        <v>16</v>
      </c>
      <c r="B148" s="25">
        <v>11.3</v>
      </c>
      <c r="C148" s="25">
        <v>55</v>
      </c>
    </row>
    <row r="149" spans="1:3">
      <c r="A149" s="23" t="s">
        <v>16</v>
      </c>
      <c r="B149" s="25">
        <v>12.7</v>
      </c>
      <c r="C149" s="25">
        <v>25</v>
      </c>
    </row>
    <row r="150" spans="1:3">
      <c r="A150" s="23" t="s">
        <v>22</v>
      </c>
      <c r="B150" s="25">
        <v>9.9</v>
      </c>
      <c r="C150" s="25">
        <v>150</v>
      </c>
    </row>
    <row r="151" spans="1:3">
      <c r="A151" s="23" t="s">
        <v>17</v>
      </c>
      <c r="B151" s="25">
        <v>15.8</v>
      </c>
      <c r="C151" s="25">
        <v>101</v>
      </c>
    </row>
    <row r="152" spans="1:3">
      <c r="A152" s="23" t="s">
        <v>24</v>
      </c>
      <c r="B152" s="25">
        <v>20</v>
      </c>
      <c r="C152" s="25">
        <v>157</v>
      </c>
    </row>
    <row r="153" spans="1:3">
      <c r="A153" s="23" t="s">
        <v>24</v>
      </c>
      <c r="B153" s="25">
        <v>4.5999999999999996</v>
      </c>
      <c r="C153" s="25">
        <v>157</v>
      </c>
    </row>
    <row r="154" spans="1:3">
      <c r="A154" s="23" t="s">
        <v>26</v>
      </c>
      <c r="B154" s="25">
        <v>15.2</v>
      </c>
      <c r="C154" s="25">
        <v>20</v>
      </c>
    </row>
    <row r="155" spans="1:3">
      <c r="A155" s="23" t="s">
        <v>24</v>
      </c>
      <c r="B155" s="25">
        <v>33</v>
      </c>
      <c r="C155" s="25">
        <v>173</v>
      </c>
    </row>
    <row r="156" spans="1:3">
      <c r="A156" s="23" t="s">
        <v>24</v>
      </c>
      <c r="B156" s="25">
        <v>14</v>
      </c>
      <c r="C156" s="25">
        <v>60</v>
      </c>
    </row>
    <row r="157" spans="1:3">
      <c r="A157" s="23" t="s">
        <v>24</v>
      </c>
      <c r="B157" s="25">
        <v>23.8</v>
      </c>
      <c r="C157" s="25">
        <v>300</v>
      </c>
    </row>
    <row r="158" spans="1:3">
      <c r="A158" s="23" t="s">
        <v>24</v>
      </c>
      <c r="B158" s="25">
        <v>20.100000000000001</v>
      </c>
      <c r="C158" s="25">
        <v>320</v>
      </c>
    </row>
    <row r="159" spans="1:3">
      <c r="A159" s="23" t="s">
        <v>26</v>
      </c>
      <c r="B159" s="25">
        <v>15.2</v>
      </c>
      <c r="C159" s="25">
        <v>20</v>
      </c>
    </row>
    <row r="160" spans="1:3">
      <c r="A160" s="23" t="s">
        <v>22</v>
      </c>
      <c r="B160" s="25">
        <v>38</v>
      </c>
      <c r="C160" s="25">
        <v>182</v>
      </c>
    </row>
    <row r="161" spans="1:3">
      <c r="A161" s="28" t="s">
        <v>22</v>
      </c>
      <c r="B161" s="27">
        <v>14.7</v>
      </c>
      <c r="C161" s="27">
        <v>30</v>
      </c>
    </row>
    <row r="162" spans="1:3">
      <c r="A162" s="23" t="s">
        <v>24</v>
      </c>
      <c r="B162" s="25">
        <v>8</v>
      </c>
      <c r="C162" s="25">
        <v>225</v>
      </c>
    </row>
    <row r="163" spans="1:3">
      <c r="A163" s="23" t="s">
        <v>27</v>
      </c>
      <c r="B163" s="26">
        <v>1.45</v>
      </c>
      <c r="C163" s="26">
        <v>24</v>
      </c>
    </row>
    <row r="164" spans="1:3">
      <c r="A164" s="28" t="s">
        <v>23</v>
      </c>
      <c r="B164" s="27">
        <v>12.3</v>
      </c>
      <c r="C164" s="27">
        <v>36</v>
      </c>
    </row>
    <row r="165" spans="1:3">
      <c r="A165" s="23" t="s">
        <v>21</v>
      </c>
      <c r="B165" s="25">
        <v>3.6</v>
      </c>
      <c r="C165" s="25">
        <v>116</v>
      </c>
    </row>
    <row r="166" spans="1:3">
      <c r="A166" s="23" t="s">
        <v>16</v>
      </c>
      <c r="B166" s="26">
        <v>2.85</v>
      </c>
      <c r="C166" s="26">
        <v>59</v>
      </c>
    </row>
    <row r="167" spans="1:3">
      <c r="A167" s="23" t="s">
        <v>16</v>
      </c>
      <c r="B167" s="26">
        <v>2.36</v>
      </c>
      <c r="C167" s="26">
        <v>44</v>
      </c>
    </row>
    <row r="168" spans="1:3">
      <c r="A168" s="23" t="s">
        <v>19</v>
      </c>
      <c r="B168" s="25">
        <v>0.75</v>
      </c>
      <c r="C168" s="25">
        <v>126</v>
      </c>
    </row>
    <row r="169" spans="1:3">
      <c r="A169" s="23" t="s">
        <v>27</v>
      </c>
      <c r="B169" s="26">
        <v>4.5599999999999996</v>
      </c>
      <c r="C169" s="26">
        <v>53</v>
      </c>
    </row>
    <row r="170" spans="1:3">
      <c r="A170" s="23" t="s">
        <v>16</v>
      </c>
      <c r="B170" s="26">
        <v>1.26</v>
      </c>
      <c r="C170" s="26">
        <v>34</v>
      </c>
    </row>
    <row r="171" spans="1:3">
      <c r="A171" s="23" t="s">
        <v>17</v>
      </c>
      <c r="B171" s="25">
        <v>2.66</v>
      </c>
      <c r="C171" s="25">
        <v>48</v>
      </c>
    </row>
    <row r="172" spans="1:3">
      <c r="A172" s="23" t="s">
        <v>27</v>
      </c>
      <c r="B172" s="24">
        <v>7.64</v>
      </c>
      <c r="C172" s="24">
        <v>18</v>
      </c>
    </row>
    <row r="173" spans="1:3">
      <c r="A173" s="23" t="s">
        <v>19</v>
      </c>
      <c r="B173" s="25">
        <v>4.75</v>
      </c>
      <c r="C173" s="25">
        <v>65</v>
      </c>
    </row>
    <row r="174" spans="1:3">
      <c r="A174" s="23" t="s">
        <v>19</v>
      </c>
      <c r="B174" s="25">
        <v>5.28</v>
      </c>
      <c r="C174" s="25">
        <v>109</v>
      </c>
    </row>
    <row r="175" spans="1:3">
      <c r="A175" s="23" t="s">
        <v>19</v>
      </c>
      <c r="B175" s="25">
        <v>24.7</v>
      </c>
      <c r="C175" s="25">
        <v>136</v>
      </c>
    </row>
    <row r="176" spans="1:3">
      <c r="A176" s="23" t="s">
        <v>19</v>
      </c>
      <c r="B176" s="25">
        <v>9.5</v>
      </c>
      <c r="C176" s="25">
        <v>134</v>
      </c>
    </row>
    <row r="177" spans="1:3">
      <c r="A177" s="23" t="s">
        <v>27</v>
      </c>
      <c r="B177" s="25">
        <v>2.84</v>
      </c>
      <c r="C177" s="25">
        <v>17</v>
      </c>
    </row>
    <row r="178" spans="1:3">
      <c r="A178" s="23" t="s">
        <v>16</v>
      </c>
      <c r="B178" s="25">
        <v>4.54</v>
      </c>
      <c r="C178" s="26">
        <v>117</v>
      </c>
    </row>
    <row r="179" spans="1:3">
      <c r="A179" s="23" t="s">
        <v>17</v>
      </c>
      <c r="B179" s="25">
        <v>7.5</v>
      </c>
      <c r="C179" s="25">
        <v>20</v>
      </c>
    </row>
    <row r="180" spans="1:3">
      <c r="A180" s="23" t="s">
        <v>27</v>
      </c>
      <c r="B180" s="25">
        <v>11</v>
      </c>
      <c r="C180" s="25">
        <v>15</v>
      </c>
    </row>
    <row r="181" spans="1:3">
      <c r="A181" s="23" t="s">
        <v>17</v>
      </c>
      <c r="B181" s="25">
        <v>5.94</v>
      </c>
      <c r="C181" s="25">
        <v>23</v>
      </c>
    </row>
    <row r="182" spans="1:3">
      <c r="A182" s="23" t="s">
        <v>27</v>
      </c>
      <c r="B182" s="25">
        <v>10.199999999999999</v>
      </c>
      <c r="C182" s="25">
        <v>60</v>
      </c>
    </row>
    <row r="183" spans="1:3">
      <c r="A183" s="23" t="s">
        <v>16</v>
      </c>
      <c r="B183" s="26">
        <v>1.6</v>
      </c>
      <c r="C183" s="26">
        <v>70</v>
      </c>
    </row>
    <row r="184" spans="1:3">
      <c r="A184" s="23" t="s">
        <v>17</v>
      </c>
      <c r="B184" s="25">
        <v>5.6</v>
      </c>
      <c r="C184" s="25">
        <v>80</v>
      </c>
    </row>
    <row r="185" spans="1:3">
      <c r="A185" s="23" t="s">
        <v>16</v>
      </c>
      <c r="B185" s="26">
        <v>6</v>
      </c>
      <c r="C185" s="26">
        <v>100</v>
      </c>
    </row>
    <row r="186" spans="1:3">
      <c r="A186" s="23" t="s">
        <v>21</v>
      </c>
      <c r="B186" s="26">
        <v>6.4</v>
      </c>
      <c r="C186" s="26">
        <v>100</v>
      </c>
    </row>
    <row r="187" spans="1:3">
      <c r="A187" s="23" t="s">
        <v>27</v>
      </c>
      <c r="B187" s="25">
        <v>8.67</v>
      </c>
      <c r="C187" s="25">
        <v>35</v>
      </c>
    </row>
    <row r="188" spans="1:3">
      <c r="A188" s="23" t="s">
        <v>19</v>
      </c>
      <c r="B188" s="25">
        <v>21.68</v>
      </c>
      <c r="C188" s="25">
        <v>253</v>
      </c>
    </row>
    <row r="189" spans="1:3">
      <c r="A189" s="23" t="s">
        <v>27</v>
      </c>
      <c r="B189" s="25">
        <v>3.8</v>
      </c>
      <c r="C189" s="25">
        <v>30</v>
      </c>
    </row>
    <row r="190" spans="1:3">
      <c r="A190" s="23" t="s">
        <v>27</v>
      </c>
      <c r="B190" s="25">
        <v>10</v>
      </c>
      <c r="C190" s="25">
        <v>35</v>
      </c>
    </row>
    <row r="191" spans="1:3">
      <c r="A191" s="23" t="s">
        <v>20</v>
      </c>
      <c r="B191" s="25">
        <v>4.4000000000000004</v>
      </c>
      <c r="C191" s="25">
        <v>92</v>
      </c>
    </row>
    <row r="192" spans="1:3">
      <c r="A192" s="23" t="s">
        <v>22</v>
      </c>
      <c r="B192" s="25">
        <v>1.3</v>
      </c>
      <c r="C192" s="25">
        <v>83</v>
      </c>
    </row>
    <row r="193" spans="1:3">
      <c r="A193" s="23" t="s">
        <v>16</v>
      </c>
      <c r="B193" s="26">
        <v>8.9</v>
      </c>
      <c r="C193" s="26">
        <v>77</v>
      </c>
    </row>
    <row r="194" spans="1:3">
      <c r="A194" s="23" t="s">
        <v>16</v>
      </c>
      <c r="B194" s="26">
        <v>4.26</v>
      </c>
      <c r="C194" s="26">
        <v>70</v>
      </c>
    </row>
    <row r="195" spans="1:3">
      <c r="A195" s="23" t="s">
        <v>19</v>
      </c>
      <c r="B195" s="25">
        <v>1.38</v>
      </c>
      <c r="C195" s="25">
        <v>66</v>
      </c>
    </row>
    <row r="196" spans="1:3">
      <c r="A196" s="23" t="s">
        <v>16</v>
      </c>
      <c r="B196" s="26">
        <v>3.6</v>
      </c>
      <c r="C196" s="26">
        <v>45</v>
      </c>
    </row>
    <row r="197" spans="1:3">
      <c r="A197" s="23" t="s">
        <v>16</v>
      </c>
      <c r="B197" s="26">
        <v>13.7</v>
      </c>
      <c r="C197" s="26">
        <v>96</v>
      </c>
    </row>
    <row r="198" spans="1:3">
      <c r="A198" s="23" t="s">
        <v>16</v>
      </c>
      <c r="B198" s="25">
        <v>9</v>
      </c>
      <c r="C198" s="26">
        <v>81</v>
      </c>
    </row>
    <row r="199" spans="1:3">
      <c r="A199" s="23" t="s">
        <v>27</v>
      </c>
      <c r="B199" s="25">
        <v>12.85</v>
      </c>
      <c r="C199" s="25">
        <v>15</v>
      </c>
    </row>
    <row r="200" spans="1:3">
      <c r="A200" s="23" t="s">
        <v>27</v>
      </c>
      <c r="B200" s="25">
        <v>11.31</v>
      </c>
      <c r="C200" s="25">
        <v>25</v>
      </c>
    </row>
    <row r="201" spans="1:3">
      <c r="A201" s="23" t="s">
        <v>25</v>
      </c>
      <c r="B201" s="25">
        <v>14.5</v>
      </c>
      <c r="C201" s="25">
        <v>190</v>
      </c>
    </row>
    <row r="202" spans="1:3">
      <c r="A202" s="23" t="s">
        <v>19</v>
      </c>
      <c r="B202" s="25">
        <v>4.2</v>
      </c>
      <c r="C202" s="25">
        <v>130</v>
      </c>
    </row>
    <row r="203" spans="1:3">
      <c r="A203" s="23" t="s">
        <v>27</v>
      </c>
      <c r="B203" s="26">
        <v>1.45</v>
      </c>
      <c r="C203" s="26">
        <v>24</v>
      </c>
    </row>
    <row r="204" spans="1:3">
      <c r="A204" s="23" t="s">
        <v>19</v>
      </c>
      <c r="B204" s="25">
        <v>6.1</v>
      </c>
      <c r="C204" s="25">
        <v>74</v>
      </c>
    </row>
    <row r="205" spans="1:3">
      <c r="A205" s="23" t="s">
        <v>21</v>
      </c>
      <c r="B205" s="26">
        <v>2</v>
      </c>
      <c r="C205" s="26">
        <v>28</v>
      </c>
    </row>
    <row r="206" spans="1:3">
      <c r="A206" s="23" t="s">
        <v>27</v>
      </c>
      <c r="B206" s="26">
        <v>3.13</v>
      </c>
      <c r="C206" s="26">
        <v>25</v>
      </c>
    </row>
    <row r="207" spans="1:3">
      <c r="A207" s="23" t="s">
        <v>16</v>
      </c>
      <c r="B207" s="26">
        <v>6.14</v>
      </c>
      <c r="C207" s="26">
        <v>85</v>
      </c>
    </row>
    <row r="208" spans="1:3">
      <c r="A208" s="23" t="s">
        <v>16</v>
      </c>
      <c r="B208" s="26">
        <v>8.42</v>
      </c>
      <c r="C208" s="26">
        <v>90</v>
      </c>
    </row>
    <row r="209" spans="1:3">
      <c r="A209" s="23" t="s">
        <v>16</v>
      </c>
      <c r="B209" s="26">
        <v>2.4</v>
      </c>
      <c r="C209" s="26">
        <v>50</v>
      </c>
    </row>
    <row r="210" spans="1:3">
      <c r="A210" s="23" t="s">
        <v>18</v>
      </c>
      <c r="B210" s="25">
        <v>5.7</v>
      </c>
      <c r="C210" s="25">
        <v>106</v>
      </c>
    </row>
    <row r="211" spans="1:3">
      <c r="A211" s="23" t="s">
        <v>25</v>
      </c>
      <c r="B211" s="25">
        <v>2.66</v>
      </c>
      <c r="C211" s="31">
        <v>48</v>
      </c>
    </row>
    <row r="212" spans="1:3">
      <c r="A212" s="23" t="s">
        <v>19</v>
      </c>
      <c r="B212" s="25">
        <v>3.65</v>
      </c>
      <c r="C212" s="25">
        <v>25</v>
      </c>
    </row>
    <row r="213" spans="1:3">
      <c r="A213" s="23" t="s">
        <v>16</v>
      </c>
      <c r="B213" s="26">
        <v>5.85</v>
      </c>
      <c r="C213" s="32">
        <v>49</v>
      </c>
    </row>
    <row r="214" spans="1:3">
      <c r="A214" s="23" t="s">
        <v>18</v>
      </c>
      <c r="B214" s="25">
        <v>5.45</v>
      </c>
      <c r="C214" s="25">
        <v>34</v>
      </c>
    </row>
    <row r="215" spans="1:3">
      <c r="A215" s="23" t="s">
        <v>21</v>
      </c>
      <c r="B215" s="26">
        <v>7.42</v>
      </c>
      <c r="C215" s="26">
        <v>110</v>
      </c>
    </row>
    <row r="216" spans="1:3">
      <c r="A216" s="23" t="s">
        <v>19</v>
      </c>
      <c r="B216" s="25">
        <v>4.24</v>
      </c>
      <c r="C216" s="25">
        <v>160</v>
      </c>
    </row>
    <row r="217" spans="1:3">
      <c r="A217" s="23" t="s">
        <v>27</v>
      </c>
      <c r="B217" s="25">
        <v>2.84</v>
      </c>
      <c r="C217" s="25">
        <v>17</v>
      </c>
    </row>
    <row r="218" spans="1:3">
      <c r="A218" s="23" t="s">
        <v>19</v>
      </c>
      <c r="B218" s="25">
        <v>8.16</v>
      </c>
      <c r="C218" s="25">
        <v>140</v>
      </c>
    </row>
    <row r="219" spans="1:3">
      <c r="A219" s="23" t="s">
        <v>16</v>
      </c>
      <c r="B219" s="26">
        <v>7.18</v>
      </c>
      <c r="C219" s="26">
        <v>22</v>
      </c>
    </row>
    <row r="220" spans="1:3">
      <c r="A220" s="23" t="s">
        <v>21</v>
      </c>
      <c r="B220" s="26">
        <v>6.8</v>
      </c>
      <c r="C220" s="26">
        <v>65</v>
      </c>
    </row>
    <row r="221" spans="1:3">
      <c r="A221" s="23" t="s">
        <v>25</v>
      </c>
      <c r="B221" s="25">
        <v>5.94</v>
      </c>
      <c r="C221" s="31">
        <v>23</v>
      </c>
    </row>
    <row r="222" spans="1:3">
      <c r="A222" s="23" t="s">
        <v>21</v>
      </c>
      <c r="B222" s="26">
        <v>4.37</v>
      </c>
      <c r="C222" s="32">
        <v>85</v>
      </c>
    </row>
    <row r="223" spans="1:3">
      <c r="A223" s="23" t="s">
        <v>16</v>
      </c>
      <c r="B223" s="26">
        <v>7.76</v>
      </c>
      <c r="C223" s="26">
        <v>60</v>
      </c>
    </row>
    <row r="224" spans="1:3">
      <c r="A224" s="23" t="s">
        <v>25</v>
      </c>
      <c r="B224" s="25">
        <v>5.6</v>
      </c>
      <c r="C224" s="25">
        <v>80</v>
      </c>
    </row>
    <row r="225" spans="1:3">
      <c r="A225" s="23" t="s">
        <v>16</v>
      </c>
      <c r="B225" s="26">
        <v>6.65</v>
      </c>
      <c r="C225" s="26">
        <v>70</v>
      </c>
    </row>
    <row r="226" spans="1:3">
      <c r="A226" s="23" t="s">
        <v>16</v>
      </c>
      <c r="B226" s="26">
        <v>2.64</v>
      </c>
      <c r="C226" s="26">
        <v>134</v>
      </c>
    </row>
    <row r="227" spans="1:3">
      <c r="A227" s="23" t="s">
        <v>18</v>
      </c>
      <c r="B227" s="25">
        <v>2.29</v>
      </c>
      <c r="C227" s="25">
        <v>29</v>
      </c>
    </row>
    <row r="228" spans="1:3">
      <c r="A228" s="23" t="s">
        <v>19</v>
      </c>
      <c r="B228" s="25">
        <v>3.4</v>
      </c>
      <c r="C228" s="25">
        <v>105</v>
      </c>
    </row>
    <row r="229" spans="1:3">
      <c r="A229" s="23" t="s">
        <v>16</v>
      </c>
      <c r="B229" s="26">
        <v>3.7</v>
      </c>
      <c r="C229" s="26">
        <v>40</v>
      </c>
    </row>
    <row r="230" spans="1:3">
      <c r="A230" s="23" t="s">
        <v>16</v>
      </c>
      <c r="B230" s="26">
        <v>5.26</v>
      </c>
      <c r="C230" s="26">
        <v>28</v>
      </c>
    </row>
    <row r="231" spans="1:3">
      <c r="A231" s="23" t="s">
        <v>16</v>
      </c>
      <c r="B231" s="26">
        <v>3.33</v>
      </c>
      <c r="C231" s="26">
        <v>50</v>
      </c>
    </row>
    <row r="232" spans="1:3">
      <c r="A232" s="23" t="s">
        <v>16</v>
      </c>
      <c r="B232" s="26">
        <v>3.5</v>
      </c>
      <c r="C232" s="26">
        <v>60</v>
      </c>
    </row>
    <row r="233" spans="1:3">
      <c r="A233" s="23" t="s">
        <v>19</v>
      </c>
      <c r="B233" s="25">
        <v>7.7</v>
      </c>
      <c r="C233" s="25">
        <v>98</v>
      </c>
    </row>
    <row r="234" spans="1:3">
      <c r="A234" s="23" t="s">
        <v>16</v>
      </c>
      <c r="B234" s="26">
        <v>4.9400000000000004</v>
      </c>
      <c r="C234" s="26">
        <v>50</v>
      </c>
    </row>
    <row r="235" spans="1:3">
      <c r="A235" s="23" t="s">
        <v>16</v>
      </c>
      <c r="B235" s="26">
        <v>7.18</v>
      </c>
      <c r="C235" s="26">
        <v>80</v>
      </c>
    </row>
    <row r="236" spans="1:3">
      <c r="A236" s="23" t="s">
        <v>16</v>
      </c>
      <c r="B236" s="26">
        <v>6.94</v>
      </c>
      <c r="C236" s="26">
        <v>15</v>
      </c>
    </row>
    <row r="237" spans="1:3">
      <c r="A237" s="23" t="s">
        <v>16</v>
      </c>
      <c r="B237" s="26">
        <v>3.66</v>
      </c>
      <c r="C237" s="26">
        <v>62</v>
      </c>
    </row>
    <row r="238" spans="1:3">
      <c r="A238" s="23" t="s">
        <v>16</v>
      </c>
      <c r="B238" s="26">
        <v>3.7</v>
      </c>
      <c r="C238" s="26">
        <v>84</v>
      </c>
    </row>
    <row r="239" spans="1:3">
      <c r="A239" s="23" t="s">
        <v>16</v>
      </c>
      <c r="B239" s="26">
        <v>2.7</v>
      </c>
      <c r="C239" s="26">
        <v>25</v>
      </c>
    </row>
    <row r="240" spans="1:3">
      <c r="A240" s="23" t="s">
        <v>16</v>
      </c>
      <c r="B240" s="26">
        <v>6.3</v>
      </c>
      <c r="C240" s="26">
        <v>69</v>
      </c>
    </row>
    <row r="241" spans="1:3">
      <c r="A241" s="23" t="s">
        <v>16</v>
      </c>
      <c r="B241" s="26">
        <v>3.85</v>
      </c>
      <c r="C241" s="26">
        <v>80</v>
      </c>
    </row>
    <row r="242" spans="1:3">
      <c r="A242" s="23" t="s">
        <v>16</v>
      </c>
      <c r="B242" s="26">
        <v>4.16</v>
      </c>
      <c r="C242" s="26">
        <v>78</v>
      </c>
    </row>
    <row r="243" spans="1:3">
      <c r="A243" s="23" t="s">
        <v>21</v>
      </c>
      <c r="B243" s="25">
        <v>6.25</v>
      </c>
      <c r="C243" s="25">
        <v>100</v>
      </c>
    </row>
    <row r="244" spans="1:3">
      <c r="A244" s="23" t="s">
        <v>21</v>
      </c>
      <c r="B244" s="25">
        <v>8.35</v>
      </c>
      <c r="C244" s="25">
        <v>180</v>
      </c>
    </row>
    <row r="245" spans="1:3">
      <c r="A245" s="23" t="s">
        <v>17</v>
      </c>
      <c r="B245" s="25">
        <v>13.3</v>
      </c>
      <c r="C245" s="25">
        <v>80</v>
      </c>
    </row>
    <row r="246" spans="1:3">
      <c r="A246" s="23" t="s">
        <v>21</v>
      </c>
      <c r="B246" s="25">
        <v>12.25</v>
      </c>
      <c r="C246" s="25">
        <v>126</v>
      </c>
    </row>
    <row r="247" spans="1:3">
      <c r="A247" s="23" t="s">
        <v>26</v>
      </c>
      <c r="B247" s="25">
        <v>15.3</v>
      </c>
      <c r="C247" s="25">
        <v>25</v>
      </c>
    </row>
    <row r="248" spans="1:3">
      <c r="A248" s="23" t="s">
        <v>22</v>
      </c>
      <c r="B248" s="25">
        <v>50</v>
      </c>
      <c r="C248" s="25">
        <v>195</v>
      </c>
    </row>
    <row r="249" spans="1:3">
      <c r="A249" s="23" t="s">
        <v>19</v>
      </c>
      <c r="B249" s="25">
        <v>18</v>
      </c>
      <c r="C249" s="25">
        <v>95</v>
      </c>
    </row>
    <row r="250" spans="1:3">
      <c r="A250" s="23" t="s">
        <v>22</v>
      </c>
      <c r="B250" s="25">
        <v>30.5</v>
      </c>
      <c r="C250" s="25">
        <v>100</v>
      </c>
    </row>
    <row r="251" spans="1:3">
      <c r="A251" s="23" t="s">
        <v>22</v>
      </c>
      <c r="B251" s="25">
        <v>19.5</v>
      </c>
      <c r="C251" s="25">
        <v>160</v>
      </c>
    </row>
    <row r="252" spans="1:3">
      <c r="A252" s="23" t="s">
        <v>21</v>
      </c>
      <c r="B252" s="25">
        <v>16.5</v>
      </c>
      <c r="C252" s="25">
        <v>155</v>
      </c>
    </row>
    <row r="253" spans="1:3">
      <c r="A253" s="23" t="s">
        <v>24</v>
      </c>
      <c r="B253" s="25">
        <v>26.3</v>
      </c>
      <c r="C253" s="25">
        <v>300</v>
      </c>
    </row>
    <row r="254" spans="1:3">
      <c r="A254" s="23" t="s">
        <v>19</v>
      </c>
      <c r="B254" s="25">
        <v>8</v>
      </c>
      <c r="C254" s="25">
        <v>165</v>
      </c>
    </row>
    <row r="255" spans="1:3">
      <c r="A255" s="23" t="s">
        <v>19</v>
      </c>
      <c r="B255" s="25">
        <v>24.5</v>
      </c>
      <c r="C255" s="25">
        <v>120</v>
      </c>
    </row>
    <row r="256" spans="1:3">
      <c r="A256" s="23" t="s">
        <v>19</v>
      </c>
      <c r="B256" s="25">
        <v>16.7</v>
      </c>
      <c r="C256" s="25">
        <v>17</v>
      </c>
    </row>
    <row r="257" spans="1:3">
      <c r="A257" s="23" t="s">
        <v>19</v>
      </c>
      <c r="B257" s="25">
        <v>12.7</v>
      </c>
      <c r="C257" s="25">
        <v>20</v>
      </c>
    </row>
    <row r="258" spans="1:3">
      <c r="A258" s="23" t="s">
        <v>19</v>
      </c>
      <c r="B258" s="25">
        <v>6.5</v>
      </c>
      <c r="C258" s="25">
        <v>42</v>
      </c>
    </row>
    <row r="259" spans="1:3">
      <c r="A259" s="23" t="s">
        <v>20</v>
      </c>
      <c r="B259" s="25">
        <v>8.25</v>
      </c>
      <c r="C259" s="25">
        <v>16</v>
      </c>
    </row>
    <row r="260" spans="1:3">
      <c r="A260" s="23" t="s">
        <v>22</v>
      </c>
      <c r="B260" s="25">
        <v>4.5999999999999996</v>
      </c>
      <c r="C260" s="25">
        <v>66</v>
      </c>
    </row>
    <row r="261" spans="1:3">
      <c r="A261" s="28" t="s">
        <v>21</v>
      </c>
      <c r="B261" s="27">
        <v>7.3</v>
      </c>
      <c r="C261" s="27">
        <v>192</v>
      </c>
    </row>
    <row r="262" spans="1:3">
      <c r="A262" s="23" t="s">
        <v>16</v>
      </c>
      <c r="B262" s="26">
        <v>5.15</v>
      </c>
      <c r="C262" s="26">
        <v>18</v>
      </c>
    </row>
    <row r="263" spans="1:3">
      <c r="A263" s="23" t="s">
        <v>18</v>
      </c>
      <c r="B263" s="26">
        <v>9.9499999999999993</v>
      </c>
      <c r="C263" s="26">
        <v>70</v>
      </c>
    </row>
    <row r="264" spans="1:3">
      <c r="A264" s="23" t="s">
        <v>16</v>
      </c>
      <c r="B264" s="26">
        <v>4.5</v>
      </c>
      <c r="C264" s="26">
        <v>69</v>
      </c>
    </row>
    <row r="265" spans="1:3">
      <c r="A265" s="23" t="s">
        <v>19</v>
      </c>
      <c r="B265" s="27">
        <v>9.1</v>
      </c>
      <c r="C265" s="27">
        <v>82</v>
      </c>
    </row>
    <row r="266" spans="1:3">
      <c r="A266" s="23" t="s">
        <v>16</v>
      </c>
      <c r="B266" s="26">
        <v>6.23</v>
      </c>
      <c r="C266" s="26">
        <v>35</v>
      </c>
    </row>
    <row r="267" spans="1:3">
      <c r="A267" s="23" t="s">
        <v>16</v>
      </c>
      <c r="B267" s="24">
        <v>7.45</v>
      </c>
      <c r="C267" s="24">
        <v>26</v>
      </c>
    </row>
    <row r="268" spans="1:3">
      <c r="A268" s="23" t="s">
        <v>21</v>
      </c>
      <c r="B268" s="25">
        <v>2.35</v>
      </c>
      <c r="C268" s="25">
        <v>119</v>
      </c>
    </row>
    <row r="269" spans="1:3">
      <c r="A269" s="23" t="s">
        <v>16</v>
      </c>
      <c r="B269" s="26">
        <v>8.18</v>
      </c>
      <c r="C269" s="26">
        <v>35</v>
      </c>
    </row>
    <row r="270" spans="1:3">
      <c r="A270" s="23" t="s">
        <v>18</v>
      </c>
      <c r="B270" s="26">
        <v>8.9499999999999993</v>
      </c>
      <c r="C270" s="26">
        <v>45</v>
      </c>
    </row>
    <row r="271" spans="1:3">
      <c r="A271" s="23" t="s">
        <v>16</v>
      </c>
      <c r="B271" s="26">
        <v>3.55</v>
      </c>
      <c r="C271" s="26">
        <v>15</v>
      </c>
    </row>
    <row r="272" spans="1:3">
      <c r="A272" s="23" t="s">
        <v>19</v>
      </c>
      <c r="B272" s="25">
        <v>8</v>
      </c>
      <c r="C272" s="25">
        <v>45</v>
      </c>
    </row>
    <row r="273" spans="1:3">
      <c r="A273" s="23" t="s">
        <v>16</v>
      </c>
      <c r="B273" s="26">
        <v>8.15</v>
      </c>
      <c r="C273" s="26">
        <v>27</v>
      </c>
    </row>
    <row r="274" spans="1:3">
      <c r="A274" s="23" t="s">
        <v>18</v>
      </c>
      <c r="B274" s="26">
        <v>6.4</v>
      </c>
      <c r="C274" s="26">
        <v>96</v>
      </c>
    </row>
    <row r="275" spans="1:3">
      <c r="A275" s="23" t="s">
        <v>18</v>
      </c>
      <c r="B275" s="26">
        <v>4.2</v>
      </c>
      <c r="C275" s="26">
        <v>18</v>
      </c>
    </row>
    <row r="276" spans="1:3">
      <c r="A276" s="23" t="s">
        <v>22</v>
      </c>
      <c r="B276" s="25">
        <v>5.15</v>
      </c>
      <c r="C276" s="25">
        <v>83</v>
      </c>
    </row>
    <row r="277" spans="1:3">
      <c r="A277" s="23" t="s">
        <v>22</v>
      </c>
      <c r="B277" s="25">
        <v>4.6500000000000004</v>
      </c>
      <c r="C277" s="25">
        <v>48</v>
      </c>
    </row>
    <row r="278" spans="1:3">
      <c r="A278" s="23" t="s">
        <v>16</v>
      </c>
      <c r="B278" s="26">
        <v>11.35</v>
      </c>
      <c r="C278" s="26">
        <v>19</v>
      </c>
    </row>
    <row r="279" spans="1:3">
      <c r="A279" s="23" t="s">
        <v>19</v>
      </c>
      <c r="B279" s="25">
        <v>6.15</v>
      </c>
      <c r="C279" s="25">
        <v>110</v>
      </c>
    </row>
    <row r="280" spans="1:3">
      <c r="A280" s="23" t="s">
        <v>22</v>
      </c>
      <c r="B280" s="25">
        <v>5.52</v>
      </c>
      <c r="C280" s="25">
        <v>31</v>
      </c>
    </row>
    <row r="281" spans="1:3">
      <c r="A281" s="23" t="s">
        <v>19</v>
      </c>
      <c r="B281" s="25">
        <v>2.2999999999999998</v>
      </c>
      <c r="C281" s="25">
        <v>112</v>
      </c>
    </row>
    <row r="282" spans="1:3">
      <c r="A282" s="23" t="s">
        <v>16</v>
      </c>
      <c r="B282" s="26">
        <v>9.25</v>
      </c>
      <c r="C282" s="26">
        <v>49</v>
      </c>
    </row>
    <row r="283" spans="1:3">
      <c r="A283" s="23" t="s">
        <v>22</v>
      </c>
      <c r="B283" s="25">
        <v>5.7</v>
      </c>
      <c r="C283" s="25">
        <v>20</v>
      </c>
    </row>
    <row r="284" spans="1:3">
      <c r="A284" s="23" t="s">
        <v>16</v>
      </c>
      <c r="B284" s="26">
        <v>3.1</v>
      </c>
      <c r="C284" s="26">
        <v>21</v>
      </c>
    </row>
    <row r="285" spans="1:3">
      <c r="A285" s="23" t="s">
        <v>16</v>
      </c>
      <c r="B285" s="26">
        <v>2.5</v>
      </c>
      <c r="C285" s="26">
        <v>76</v>
      </c>
    </row>
    <row r="286" spans="1:3">
      <c r="A286" s="23" t="s">
        <v>19</v>
      </c>
      <c r="B286" s="25">
        <v>1.2</v>
      </c>
      <c r="C286" s="25">
        <v>15</v>
      </c>
    </row>
    <row r="287" spans="1:3">
      <c r="A287" s="23" t="s">
        <v>16</v>
      </c>
      <c r="B287" s="26">
        <v>5.9</v>
      </c>
      <c r="C287" s="26">
        <v>15</v>
      </c>
    </row>
    <row r="288" spans="1:3">
      <c r="A288" s="23" t="s">
        <v>23</v>
      </c>
      <c r="B288" s="25">
        <v>6.45</v>
      </c>
      <c r="C288" s="25">
        <v>15</v>
      </c>
    </row>
    <row r="289" spans="1:3">
      <c r="A289" s="23" t="s">
        <v>16</v>
      </c>
      <c r="B289" s="26">
        <v>5.8</v>
      </c>
      <c r="C289" s="26">
        <v>30</v>
      </c>
    </row>
    <row r="290" spans="1:3">
      <c r="A290" s="23" t="s">
        <v>22</v>
      </c>
      <c r="B290" s="25">
        <v>5.29</v>
      </c>
      <c r="C290" s="25">
        <v>67</v>
      </c>
    </row>
    <row r="291" spans="1:3">
      <c r="A291" s="23" t="s">
        <v>16</v>
      </c>
      <c r="B291" s="26">
        <v>5.35</v>
      </c>
      <c r="C291" s="26">
        <v>49</v>
      </c>
    </row>
    <row r="292" spans="1:3">
      <c r="A292" s="23" t="s">
        <v>23</v>
      </c>
      <c r="B292" s="25">
        <v>2.1</v>
      </c>
      <c r="C292" s="25">
        <v>33</v>
      </c>
    </row>
    <row r="293" spans="1:3">
      <c r="A293" s="28" t="s">
        <v>22</v>
      </c>
      <c r="B293" s="27">
        <v>6.47</v>
      </c>
      <c r="C293" s="27">
        <v>47</v>
      </c>
    </row>
    <row r="294" spans="1:3">
      <c r="A294" s="23" t="s">
        <v>16</v>
      </c>
      <c r="B294" s="26">
        <v>4.5</v>
      </c>
      <c r="C294" s="26">
        <v>32</v>
      </c>
    </row>
    <row r="295" spans="1:3">
      <c r="A295" s="23" t="s">
        <v>19</v>
      </c>
      <c r="B295" s="25">
        <v>14.47</v>
      </c>
      <c r="C295" s="25">
        <v>142</v>
      </c>
    </row>
    <row r="296" spans="1:3">
      <c r="A296" s="23" t="s">
        <v>24</v>
      </c>
      <c r="B296" s="26">
        <v>4.7699999999999996</v>
      </c>
      <c r="C296" s="26">
        <v>17</v>
      </c>
    </row>
    <row r="297" spans="1:3">
      <c r="A297" s="23" t="s">
        <v>27</v>
      </c>
      <c r="B297" s="25">
        <v>4.75</v>
      </c>
      <c r="C297" s="25">
        <v>28</v>
      </c>
    </row>
    <row r="298" spans="1:3">
      <c r="A298" s="23" t="s">
        <v>19</v>
      </c>
      <c r="B298" s="25">
        <v>1.47</v>
      </c>
      <c r="C298" s="25">
        <v>39</v>
      </c>
    </row>
    <row r="299" spans="1:3">
      <c r="A299" s="23" t="s">
        <v>22</v>
      </c>
      <c r="B299" s="25">
        <v>3.254</v>
      </c>
      <c r="C299" s="25">
        <v>143</v>
      </c>
    </row>
    <row r="300" spans="1:3">
      <c r="A300" s="23" t="s">
        <v>23</v>
      </c>
      <c r="B300" s="25">
        <v>7.25</v>
      </c>
      <c r="C300" s="25">
        <v>25</v>
      </c>
    </row>
    <row r="301" spans="1:3">
      <c r="A301" s="23" t="s">
        <v>22</v>
      </c>
      <c r="B301" s="25">
        <v>12.15</v>
      </c>
      <c r="C301" s="25">
        <v>122</v>
      </c>
    </row>
    <row r="302" spans="1:3">
      <c r="A302" s="23" t="s">
        <v>25</v>
      </c>
      <c r="B302" s="25">
        <v>5.14</v>
      </c>
      <c r="C302" s="25">
        <v>126</v>
      </c>
    </row>
    <row r="303" spans="1:3">
      <c r="A303" s="23" t="s">
        <v>16</v>
      </c>
      <c r="B303" s="25">
        <v>3.98</v>
      </c>
      <c r="C303" s="25">
        <v>81</v>
      </c>
    </row>
    <row r="304" spans="1:3">
      <c r="A304" s="28" t="s">
        <v>22</v>
      </c>
      <c r="B304" s="29">
        <v>22.44</v>
      </c>
      <c r="C304" s="29">
        <v>80</v>
      </c>
    </row>
    <row r="305" spans="1:3">
      <c r="A305" s="23" t="s">
        <v>22</v>
      </c>
      <c r="B305" s="25">
        <v>4.5999999999999996</v>
      </c>
      <c r="C305" s="25">
        <v>227</v>
      </c>
    </row>
    <row r="306" spans="1:3">
      <c r="A306" s="23" t="s">
        <v>24</v>
      </c>
      <c r="B306" s="26">
        <v>12.86</v>
      </c>
      <c r="C306" s="26">
        <v>16</v>
      </c>
    </row>
    <row r="307" spans="1:3">
      <c r="A307" s="23" t="s">
        <v>16</v>
      </c>
      <c r="B307" s="25">
        <v>8.1</v>
      </c>
      <c r="C307" s="25">
        <v>30</v>
      </c>
    </row>
    <row r="308" spans="1:3">
      <c r="A308" s="23" t="s">
        <v>16</v>
      </c>
      <c r="B308" s="25">
        <v>4.3499999999999996</v>
      </c>
      <c r="C308" s="25">
        <v>15</v>
      </c>
    </row>
    <row r="309" spans="1:3">
      <c r="A309" s="23" t="s">
        <v>21</v>
      </c>
      <c r="B309" s="25">
        <v>7.2</v>
      </c>
      <c r="C309" s="25">
        <v>15</v>
      </c>
    </row>
    <row r="310" spans="1:3">
      <c r="A310" s="23" t="s">
        <v>18</v>
      </c>
      <c r="B310" s="25">
        <v>4.5999999999999996</v>
      </c>
      <c r="C310" s="25">
        <v>55</v>
      </c>
    </row>
    <row r="311" spans="1:3">
      <c r="A311" s="23" t="s">
        <v>23</v>
      </c>
      <c r="B311" s="25">
        <v>5.92</v>
      </c>
      <c r="C311" s="25">
        <v>117</v>
      </c>
    </row>
    <row r="312" spans="1:3">
      <c r="A312" s="23" t="s">
        <v>16</v>
      </c>
      <c r="B312" s="25">
        <v>5.15</v>
      </c>
      <c r="C312" s="25">
        <v>74</v>
      </c>
    </row>
    <row r="313" spans="1:3">
      <c r="A313" s="23" t="s">
        <v>21</v>
      </c>
      <c r="B313" s="25">
        <v>5.15</v>
      </c>
      <c r="C313" s="25">
        <v>19</v>
      </c>
    </row>
    <row r="314" spans="1:3">
      <c r="A314" s="23" t="s">
        <v>16</v>
      </c>
      <c r="B314" s="25">
        <v>4.32</v>
      </c>
      <c r="C314" s="25">
        <v>50</v>
      </c>
    </row>
    <row r="315" spans="1:3">
      <c r="A315" s="23" t="s">
        <v>23</v>
      </c>
      <c r="B315" s="25">
        <v>2.75</v>
      </c>
      <c r="C315" s="25">
        <v>26</v>
      </c>
    </row>
    <row r="316" spans="1:3">
      <c r="A316" s="23" t="s">
        <v>16</v>
      </c>
      <c r="B316" s="25">
        <v>2.5</v>
      </c>
      <c r="C316" s="25">
        <v>53</v>
      </c>
    </row>
    <row r="317" spans="1:3">
      <c r="A317" s="23" t="s">
        <v>22</v>
      </c>
      <c r="B317" s="25">
        <v>5.38</v>
      </c>
      <c r="C317" s="25">
        <v>135</v>
      </c>
    </row>
    <row r="318" spans="1:3">
      <c r="A318" s="23" t="s">
        <v>16</v>
      </c>
      <c r="B318" s="25">
        <v>7.65</v>
      </c>
      <c r="C318" s="25">
        <v>78</v>
      </c>
    </row>
    <row r="319" spans="1:3">
      <c r="A319" s="23" t="s">
        <v>21</v>
      </c>
      <c r="B319" s="25">
        <v>34</v>
      </c>
      <c r="C319" s="25">
        <v>100</v>
      </c>
    </row>
    <row r="320" spans="1:3">
      <c r="A320" s="23" t="s">
        <v>16</v>
      </c>
      <c r="B320" s="25">
        <v>20</v>
      </c>
      <c r="C320" s="25">
        <v>70</v>
      </c>
    </row>
    <row r="321" spans="1:3">
      <c r="A321" s="23" t="s">
        <v>16</v>
      </c>
      <c r="B321" s="25">
        <v>13.24</v>
      </c>
      <c r="C321" s="25">
        <v>15</v>
      </c>
    </row>
    <row r="322" spans="1:3">
      <c r="A322" s="23" t="s">
        <v>21</v>
      </c>
      <c r="B322" s="25">
        <v>17.100000000000001</v>
      </c>
      <c r="C322" s="25">
        <v>112</v>
      </c>
    </row>
    <row r="323" spans="1:3">
      <c r="A323" s="23" t="s">
        <v>25</v>
      </c>
      <c r="B323" s="25">
        <v>12.54</v>
      </c>
      <c r="C323" s="25">
        <v>200</v>
      </c>
    </row>
    <row r="324" spans="1:3">
      <c r="A324" s="23" t="s">
        <v>25</v>
      </c>
      <c r="B324" s="25">
        <v>12.5</v>
      </c>
      <c r="C324" s="25">
        <v>115</v>
      </c>
    </row>
    <row r="325" spans="1:3">
      <c r="A325" s="23" t="s">
        <v>21</v>
      </c>
      <c r="B325" s="25">
        <v>15.45</v>
      </c>
      <c r="C325" s="25">
        <v>30</v>
      </c>
    </row>
    <row r="326" spans="1:3">
      <c r="A326" s="23" t="s">
        <v>25</v>
      </c>
      <c r="B326" s="25">
        <v>17</v>
      </c>
      <c r="C326" s="25">
        <v>30</v>
      </c>
    </row>
    <row r="327" spans="1:3">
      <c r="A327" s="23" t="s">
        <v>21</v>
      </c>
      <c r="B327" s="25">
        <v>12.14</v>
      </c>
      <c r="C327" s="25">
        <v>15</v>
      </c>
    </row>
    <row r="328" spans="1:3">
      <c r="A328" s="23" t="s">
        <v>16</v>
      </c>
      <c r="B328" s="25">
        <v>8.5</v>
      </c>
      <c r="C328" s="25">
        <v>46</v>
      </c>
    </row>
    <row r="329" spans="1:3">
      <c r="A329" s="23" t="s">
        <v>25</v>
      </c>
      <c r="B329" s="25">
        <v>21.17</v>
      </c>
      <c r="C329" s="25">
        <v>225</v>
      </c>
    </row>
    <row r="330" spans="1:3">
      <c r="A330" s="23" t="s">
        <v>25</v>
      </c>
      <c r="B330" s="25">
        <v>3.25</v>
      </c>
      <c r="C330" s="25">
        <v>200</v>
      </c>
    </row>
    <row r="331" spans="1:3">
      <c r="A331" s="23" t="s">
        <v>25</v>
      </c>
      <c r="B331" s="25">
        <v>14.52</v>
      </c>
      <c r="C331" s="25">
        <v>235</v>
      </c>
    </row>
    <row r="332" spans="1:3">
      <c r="A332" s="33" t="s">
        <v>24</v>
      </c>
      <c r="B332" s="34">
        <v>9</v>
      </c>
      <c r="C332" s="34">
        <v>16</v>
      </c>
    </row>
    <row r="333" spans="1:3">
      <c r="A333" s="33" t="s">
        <v>16</v>
      </c>
      <c r="B333" s="34">
        <v>4.7</v>
      </c>
      <c r="C333" s="34">
        <v>60</v>
      </c>
    </row>
    <row r="334" spans="1:3">
      <c r="A334" s="28" t="s">
        <v>22</v>
      </c>
      <c r="B334" s="27">
        <v>15.15</v>
      </c>
      <c r="C334" s="27">
        <v>14</v>
      </c>
    </row>
    <row r="335" spans="1:3">
      <c r="A335" s="33" t="s">
        <v>20</v>
      </c>
      <c r="B335" s="34">
        <v>6.6</v>
      </c>
      <c r="C335" s="34">
        <v>87</v>
      </c>
    </row>
    <row r="336" spans="1:3">
      <c r="A336" s="33" t="s">
        <v>26</v>
      </c>
      <c r="B336" s="34">
        <v>3.8</v>
      </c>
      <c r="C336" s="34">
        <v>15</v>
      </c>
    </row>
    <row r="337" spans="1:3">
      <c r="A337" s="33" t="s">
        <v>16</v>
      </c>
      <c r="B337" s="34">
        <v>8</v>
      </c>
      <c r="C337" s="34">
        <v>50</v>
      </c>
    </row>
    <row r="338" spans="1:3">
      <c r="A338" s="33" t="s">
        <v>21</v>
      </c>
      <c r="B338" s="34">
        <v>6.5</v>
      </c>
      <c r="C338" s="34">
        <v>50</v>
      </c>
    </row>
    <row r="339" spans="1:3">
      <c r="A339" s="33" t="s">
        <v>16</v>
      </c>
      <c r="B339" s="34">
        <v>4.5</v>
      </c>
      <c r="C339" s="34">
        <v>42</v>
      </c>
    </row>
    <row r="340" spans="1:3">
      <c r="A340" s="28" t="s">
        <v>22</v>
      </c>
      <c r="B340" s="27">
        <v>7.15</v>
      </c>
      <c r="C340" s="27">
        <v>26</v>
      </c>
    </row>
    <row r="341" spans="1:3">
      <c r="A341" s="33" t="s">
        <v>16</v>
      </c>
      <c r="B341" s="34">
        <v>8.65</v>
      </c>
      <c r="C341" s="34">
        <v>45</v>
      </c>
    </row>
    <row r="342" spans="1:3">
      <c r="A342" s="33" t="s">
        <v>22</v>
      </c>
      <c r="B342" s="34">
        <v>9.3000000000000007</v>
      </c>
      <c r="C342" s="34">
        <v>18</v>
      </c>
    </row>
    <row r="343" spans="1:3">
      <c r="A343" s="33" t="s">
        <v>16</v>
      </c>
      <c r="B343" s="34">
        <v>12.15</v>
      </c>
      <c r="C343" s="34">
        <v>60</v>
      </c>
    </row>
    <row r="344" spans="1:3">
      <c r="A344" s="33" t="s">
        <v>16</v>
      </c>
      <c r="B344" s="34">
        <v>4.7</v>
      </c>
      <c r="C344" s="34">
        <v>49</v>
      </c>
    </row>
    <row r="345" spans="1:3">
      <c r="A345" s="33" t="s">
        <v>22</v>
      </c>
      <c r="B345" s="34">
        <v>4.5999999999999996</v>
      </c>
      <c r="C345" s="34">
        <v>81</v>
      </c>
    </row>
    <row r="346" spans="1:3">
      <c r="A346" s="33" t="s">
        <v>16</v>
      </c>
      <c r="B346" s="34">
        <v>6.65</v>
      </c>
      <c r="C346" s="34">
        <v>72</v>
      </c>
    </row>
    <row r="347" spans="1:3">
      <c r="A347" s="33" t="s">
        <v>22</v>
      </c>
      <c r="B347" s="34">
        <v>6.2</v>
      </c>
      <c r="C347" s="34">
        <v>81</v>
      </c>
    </row>
    <row r="348" spans="1:3">
      <c r="A348" s="33" t="s">
        <v>24</v>
      </c>
      <c r="B348" s="34">
        <v>7.1</v>
      </c>
      <c r="C348" s="34">
        <v>90</v>
      </c>
    </row>
    <row r="349" spans="1:3">
      <c r="A349" s="33" t="s">
        <v>23</v>
      </c>
      <c r="B349" s="34">
        <v>2.2000000000000002</v>
      </c>
      <c r="C349" s="34">
        <v>33</v>
      </c>
    </row>
    <row r="350" spans="1:3">
      <c r="A350" s="33" t="s">
        <v>22</v>
      </c>
      <c r="B350" s="34">
        <v>5.25</v>
      </c>
      <c r="C350" s="34">
        <v>37</v>
      </c>
    </row>
    <row r="351" spans="1:3">
      <c r="A351" s="33" t="s">
        <v>26</v>
      </c>
      <c r="B351" s="34">
        <v>4.5</v>
      </c>
      <c r="C351" s="34">
        <v>70</v>
      </c>
    </row>
    <row r="352" spans="1:3">
      <c r="A352" s="33" t="s">
        <v>21</v>
      </c>
      <c r="B352" s="34">
        <v>3.25</v>
      </c>
      <c r="C352" s="34">
        <v>18</v>
      </c>
    </row>
    <row r="353" spans="1:3">
      <c r="A353" s="33" t="s">
        <v>24</v>
      </c>
      <c r="B353" s="34">
        <v>2.5</v>
      </c>
      <c r="C353" s="34">
        <v>121</v>
      </c>
    </row>
    <row r="354" spans="1:3">
      <c r="A354" s="33" t="s">
        <v>16</v>
      </c>
      <c r="B354" s="34">
        <v>6.75</v>
      </c>
      <c r="C354" s="34">
        <v>28</v>
      </c>
    </row>
    <row r="355" spans="1:3">
      <c r="A355" s="33" t="s">
        <v>20</v>
      </c>
      <c r="B355" s="34">
        <v>7.75</v>
      </c>
      <c r="C355" s="34">
        <v>75</v>
      </c>
    </row>
    <row r="356" spans="1:3">
      <c r="A356" s="33" t="s">
        <v>21</v>
      </c>
      <c r="B356" s="34">
        <v>5.9</v>
      </c>
      <c r="C356" s="34">
        <v>90</v>
      </c>
    </row>
    <row r="357" spans="1:3">
      <c r="A357" s="33" t="s">
        <v>16</v>
      </c>
      <c r="B357" s="34">
        <v>4.2</v>
      </c>
      <c r="C357" s="34">
        <v>55</v>
      </c>
    </row>
    <row r="358" spans="1:3">
      <c r="A358" s="33" t="s">
        <v>16</v>
      </c>
      <c r="B358" s="34">
        <v>7.5</v>
      </c>
      <c r="C358" s="34">
        <v>52</v>
      </c>
    </row>
    <row r="359" spans="1:3">
      <c r="A359" s="33" t="s">
        <v>16</v>
      </c>
      <c r="B359" s="34">
        <v>6.2</v>
      </c>
      <c r="C359" s="34">
        <v>28</v>
      </c>
    </row>
    <row r="360" spans="1:3">
      <c r="A360" s="33" t="s">
        <v>16</v>
      </c>
      <c r="B360" s="34">
        <v>7.9</v>
      </c>
      <c r="C360" s="34">
        <v>29</v>
      </c>
    </row>
    <row r="361" spans="1:3">
      <c r="A361" s="28" t="s">
        <v>22</v>
      </c>
      <c r="B361" s="27">
        <v>13.1</v>
      </c>
      <c r="C361" s="27">
        <v>53</v>
      </c>
    </row>
    <row r="362" spans="1:3">
      <c r="A362" s="33" t="s">
        <v>21</v>
      </c>
      <c r="B362" s="34">
        <v>6.6</v>
      </c>
      <c r="C362" s="34">
        <v>70</v>
      </c>
    </row>
    <row r="363" spans="1:3">
      <c r="A363" s="33" t="s">
        <v>22</v>
      </c>
      <c r="B363" s="34">
        <v>11.2</v>
      </c>
      <c r="C363" s="34">
        <v>45</v>
      </c>
    </row>
    <row r="364" spans="1:3">
      <c r="A364" s="28" t="s">
        <v>24</v>
      </c>
      <c r="B364" s="27">
        <v>5.25</v>
      </c>
      <c r="C364" s="27">
        <v>43</v>
      </c>
    </row>
    <row r="365" spans="1:3">
      <c r="A365" s="33" t="s">
        <v>16</v>
      </c>
      <c r="B365" s="34">
        <v>5.5</v>
      </c>
      <c r="C365" s="34">
        <v>18</v>
      </c>
    </row>
    <row r="366" spans="1:3">
      <c r="A366" s="33" t="s">
        <v>22</v>
      </c>
      <c r="B366" s="34">
        <v>4.1500000000000004</v>
      </c>
      <c r="C366" s="34">
        <v>34</v>
      </c>
    </row>
    <row r="367" spans="1:3">
      <c r="A367" s="28" t="s">
        <v>23</v>
      </c>
      <c r="B367" s="27">
        <v>11.33</v>
      </c>
      <c r="C367" s="27">
        <v>20</v>
      </c>
    </row>
    <row r="368" spans="1:3">
      <c r="A368" s="33" t="s">
        <v>18</v>
      </c>
      <c r="B368" s="34">
        <v>7.15</v>
      </c>
      <c r="C368" s="34">
        <v>41</v>
      </c>
    </row>
    <row r="369" spans="1:3">
      <c r="A369" s="33" t="s">
        <v>24</v>
      </c>
      <c r="B369" s="34">
        <v>5.55</v>
      </c>
      <c r="C369" s="34">
        <v>39</v>
      </c>
    </row>
    <row r="370" spans="1:3">
      <c r="A370" s="28" t="s">
        <v>21</v>
      </c>
      <c r="B370" s="27">
        <v>6.45</v>
      </c>
      <c r="C370" s="27">
        <v>83</v>
      </c>
    </row>
    <row r="371" spans="1:3">
      <c r="A371" s="33" t="s">
        <v>21</v>
      </c>
      <c r="B371" s="34">
        <v>4.6500000000000004</v>
      </c>
      <c r="C371" s="34">
        <v>56</v>
      </c>
    </row>
    <row r="372" spans="1:3">
      <c r="A372" s="23" t="s">
        <v>16</v>
      </c>
      <c r="B372" s="25">
        <v>6.2</v>
      </c>
      <c r="C372" s="25">
        <v>25</v>
      </c>
    </row>
    <row r="373" spans="1:3">
      <c r="A373" s="23" t="s">
        <v>19</v>
      </c>
      <c r="B373" s="25">
        <v>2.2999999999999998</v>
      </c>
      <c r="C373" s="25">
        <v>98</v>
      </c>
    </row>
    <row r="374" spans="1:3">
      <c r="A374" s="23" t="s">
        <v>18</v>
      </c>
      <c r="B374" s="25">
        <v>9.4</v>
      </c>
      <c r="C374" s="25">
        <v>122</v>
      </c>
    </row>
    <row r="375" spans="1:3">
      <c r="A375" s="23" t="s">
        <v>19</v>
      </c>
      <c r="B375" s="25">
        <v>13.95</v>
      </c>
      <c r="C375" s="25">
        <v>100</v>
      </c>
    </row>
    <row r="376" spans="1:3">
      <c r="A376" s="23" t="s">
        <v>22</v>
      </c>
      <c r="B376" s="25">
        <v>10.67</v>
      </c>
      <c r="C376" s="25">
        <v>78</v>
      </c>
    </row>
    <row r="377" spans="1:3">
      <c r="A377" s="23" t="s">
        <v>23</v>
      </c>
      <c r="B377" s="25">
        <v>12.59</v>
      </c>
      <c r="C377" s="25">
        <v>32</v>
      </c>
    </row>
    <row r="378" spans="1:3">
      <c r="A378" s="23" t="s">
        <v>19</v>
      </c>
      <c r="B378" s="25">
        <v>6.77</v>
      </c>
      <c r="C378" s="25">
        <v>122</v>
      </c>
    </row>
    <row r="379" spans="1:3">
      <c r="A379" s="23" t="s">
        <v>21</v>
      </c>
      <c r="B379" s="26">
        <v>6.48</v>
      </c>
      <c r="C379" s="26">
        <v>75</v>
      </c>
    </row>
    <row r="380" spans="1:3">
      <c r="A380" s="23" t="s">
        <v>16</v>
      </c>
      <c r="B380" s="25">
        <v>4.5599999999999996</v>
      </c>
      <c r="C380" s="25">
        <v>77</v>
      </c>
    </row>
    <row r="381" spans="1:3">
      <c r="A381" s="23" t="s">
        <v>16</v>
      </c>
      <c r="B381" s="25">
        <v>4.5999999999999996</v>
      </c>
      <c r="C381" s="25">
        <v>103</v>
      </c>
    </row>
    <row r="382" spans="1:3">
      <c r="A382" s="23" t="s">
        <v>16</v>
      </c>
      <c r="B382" s="25">
        <v>1.55</v>
      </c>
      <c r="C382" s="25">
        <v>19</v>
      </c>
    </row>
    <row r="383" spans="1:3">
      <c r="A383" s="23" t="s">
        <v>16</v>
      </c>
      <c r="B383" s="25">
        <v>4.8600000000000003</v>
      </c>
      <c r="C383" s="25">
        <v>50</v>
      </c>
    </row>
    <row r="384" spans="1:3">
      <c r="A384" s="23" t="s">
        <v>16</v>
      </c>
      <c r="B384" s="25">
        <v>4.75</v>
      </c>
      <c r="C384" s="25">
        <v>40</v>
      </c>
    </row>
    <row r="385" spans="1:3">
      <c r="A385" s="23" t="s">
        <v>16</v>
      </c>
      <c r="B385" s="25">
        <v>3.4</v>
      </c>
      <c r="C385" s="25">
        <v>85</v>
      </c>
    </row>
    <row r="386" spans="1:3">
      <c r="A386" s="23" t="s">
        <v>16</v>
      </c>
      <c r="B386" s="25">
        <v>7</v>
      </c>
      <c r="C386" s="25">
        <v>51</v>
      </c>
    </row>
    <row r="387" spans="1:3">
      <c r="A387" s="23" t="s">
        <v>19</v>
      </c>
      <c r="B387" s="25">
        <v>8.66</v>
      </c>
      <c r="C387" s="25">
        <v>133</v>
      </c>
    </row>
    <row r="388" spans="1:3">
      <c r="A388" s="23" t="s">
        <v>18</v>
      </c>
      <c r="B388" s="25">
        <v>2.4500000000000002</v>
      </c>
      <c r="C388" s="25">
        <v>127</v>
      </c>
    </row>
    <row r="389" spans="1:3">
      <c r="A389" s="23" t="s">
        <v>19</v>
      </c>
      <c r="B389" s="25">
        <v>0.2</v>
      </c>
      <c r="C389" s="25">
        <v>125</v>
      </c>
    </row>
    <row r="390" spans="1:3">
      <c r="A390" s="23" t="s">
        <v>16</v>
      </c>
      <c r="B390" s="25">
        <v>3.2</v>
      </c>
      <c r="C390" s="25">
        <v>55</v>
      </c>
    </row>
    <row r="391" spans="1:3">
      <c r="A391" s="23" t="s">
        <v>19</v>
      </c>
      <c r="B391" s="25">
        <v>7.6</v>
      </c>
      <c r="C391" s="25">
        <v>82</v>
      </c>
    </row>
    <row r="392" spans="1:3">
      <c r="A392" s="23" t="s">
        <v>21</v>
      </c>
      <c r="B392" s="26">
        <v>2.2999999999999998</v>
      </c>
      <c r="C392" s="26">
        <v>20</v>
      </c>
    </row>
    <row r="393" spans="1:3">
      <c r="A393" s="23" t="s">
        <v>21</v>
      </c>
      <c r="B393" s="26">
        <v>1.95</v>
      </c>
      <c r="C393" s="26">
        <v>33</v>
      </c>
    </row>
    <row r="394" spans="1:3">
      <c r="A394" s="23" t="s">
        <v>16</v>
      </c>
      <c r="B394" s="25">
        <v>14.4</v>
      </c>
      <c r="C394" s="25">
        <v>30</v>
      </c>
    </row>
    <row r="395" spans="1:3">
      <c r="A395" s="23" t="s">
        <v>22</v>
      </c>
      <c r="B395" s="25">
        <v>9.26</v>
      </c>
      <c r="C395" s="25">
        <v>98</v>
      </c>
    </row>
    <row r="396" spans="1:3">
      <c r="A396" s="23" t="s">
        <v>16</v>
      </c>
      <c r="B396" s="25">
        <v>3.3</v>
      </c>
      <c r="C396" s="25">
        <v>100</v>
      </c>
    </row>
    <row r="397" spans="1:3">
      <c r="A397" s="23" t="s">
        <v>16</v>
      </c>
      <c r="B397" s="25">
        <v>5.9</v>
      </c>
      <c r="C397" s="25">
        <v>56</v>
      </c>
    </row>
    <row r="398" spans="1:3">
      <c r="A398" s="23" t="s">
        <v>16</v>
      </c>
      <c r="B398" s="25">
        <v>8.2799999999999994</v>
      </c>
      <c r="C398" s="25">
        <v>47</v>
      </c>
    </row>
    <row r="399" spans="1:3">
      <c r="A399" s="23" t="s">
        <v>16</v>
      </c>
      <c r="B399" s="25">
        <v>9.1</v>
      </c>
      <c r="C399" s="25">
        <v>90</v>
      </c>
    </row>
    <row r="400" spans="1:3">
      <c r="A400" s="23" t="s">
        <v>16</v>
      </c>
      <c r="B400" s="25">
        <v>7.35</v>
      </c>
      <c r="C400" s="25">
        <v>26</v>
      </c>
    </row>
    <row r="401" spans="1:3">
      <c r="A401" s="23" t="s">
        <v>19</v>
      </c>
      <c r="B401" s="25">
        <v>11.75</v>
      </c>
      <c r="C401" s="25">
        <v>160</v>
      </c>
    </row>
    <row r="402" spans="1:3">
      <c r="A402" s="23" t="s">
        <v>19</v>
      </c>
      <c r="B402" s="25">
        <v>6.6</v>
      </c>
      <c r="C402" s="25">
        <v>105</v>
      </c>
    </row>
    <row r="403" spans="1:3">
      <c r="A403" s="23" t="s">
        <v>16</v>
      </c>
      <c r="B403" s="25">
        <v>8.4499999999999993</v>
      </c>
      <c r="C403" s="25">
        <v>68</v>
      </c>
    </row>
    <row r="404" spans="1:3">
      <c r="A404" s="23" t="s">
        <v>21</v>
      </c>
      <c r="B404" s="26">
        <v>13.84</v>
      </c>
      <c r="C404" s="26">
        <v>170</v>
      </c>
    </row>
    <row r="405" spans="1:3">
      <c r="A405" s="23" t="s">
        <v>21</v>
      </c>
      <c r="B405" s="26">
        <v>20.29</v>
      </c>
      <c r="C405" s="26">
        <v>27</v>
      </c>
    </row>
    <row r="406" spans="1:3">
      <c r="A406" s="23" t="s">
        <v>19</v>
      </c>
      <c r="B406" s="25">
        <v>2.21</v>
      </c>
      <c r="C406" s="25">
        <v>108</v>
      </c>
    </row>
    <row r="407" spans="1:3">
      <c r="A407" s="23" t="s">
        <v>21</v>
      </c>
      <c r="B407" s="26">
        <v>5.27</v>
      </c>
      <c r="C407" s="26">
        <v>65</v>
      </c>
    </row>
    <row r="408" spans="1:3">
      <c r="A408" s="23" t="s">
        <v>19</v>
      </c>
      <c r="B408" s="25">
        <v>1.98</v>
      </c>
      <c r="C408" s="25">
        <v>90</v>
      </c>
    </row>
    <row r="409" spans="1:3">
      <c r="A409" s="23" t="s">
        <v>16</v>
      </c>
      <c r="B409" s="25">
        <v>4.87</v>
      </c>
      <c r="C409" s="25">
        <v>51</v>
      </c>
    </row>
    <row r="410" spans="1:3">
      <c r="A410" s="23" t="s">
        <v>16</v>
      </c>
      <c r="B410" s="25">
        <v>6.2</v>
      </c>
      <c r="C410" s="25">
        <v>66</v>
      </c>
    </row>
    <row r="411" spans="1:3">
      <c r="A411" s="23" t="s">
        <v>16</v>
      </c>
      <c r="B411" s="25">
        <v>4.4000000000000004</v>
      </c>
      <c r="C411" s="25">
        <v>16</v>
      </c>
    </row>
    <row r="412" spans="1:3">
      <c r="A412" s="25" t="s">
        <v>28</v>
      </c>
      <c r="B412" s="27">
        <v>24.6</v>
      </c>
      <c r="C412" s="27">
        <v>125</v>
      </c>
    </row>
    <row r="413" spans="1:3">
      <c r="A413" s="35"/>
      <c r="B413" s="35">
        <f>AVERAGE(B1:B412)</f>
        <v>7.5707864077669873</v>
      </c>
      <c r="C413" s="35">
        <f>SUM(C1:C412)</f>
        <v>27722</v>
      </c>
    </row>
    <row r="414" spans="1:3">
      <c r="A414" s="36"/>
      <c r="B414" s="35"/>
      <c r="C414" s="35"/>
    </row>
    <row r="415" spans="1:3">
      <c r="A415" s="23"/>
      <c r="B415" s="35"/>
      <c r="C415" s="35"/>
    </row>
    <row r="416" spans="1:3">
      <c r="A416" s="23"/>
      <c r="B416" s="35"/>
      <c r="C416" s="35"/>
    </row>
    <row r="417" spans="1:3">
      <c r="A417" s="23"/>
      <c r="B417" s="35"/>
      <c r="C417" s="35"/>
    </row>
    <row r="418" spans="1:3">
      <c r="A418" s="23"/>
      <c r="B418" s="35"/>
      <c r="C418" s="35"/>
    </row>
    <row r="419" spans="1:3">
      <c r="A419" s="23"/>
      <c r="B419" s="35"/>
      <c r="C419" s="35"/>
    </row>
    <row r="420" spans="1:3">
      <c r="A420" s="23"/>
      <c r="B420" s="35"/>
      <c r="C420" s="35"/>
    </row>
    <row r="421" spans="1:3">
      <c r="A421" s="23"/>
    </row>
    <row r="422" spans="1:3">
      <c r="A422" s="23"/>
    </row>
    <row r="423" spans="1:3">
      <c r="A423" s="23"/>
    </row>
    <row r="424" spans="1:3">
      <c r="A424" s="2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4"/>
  <sheetViews>
    <sheetView workbookViewId="0">
      <selection sqref="A1:A13"/>
    </sheetView>
  </sheetViews>
  <sheetFormatPr defaultRowHeight="14.4"/>
  <sheetData>
    <row r="14" spans="1:1">
      <c r="A14" s="5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compute</vt:lpstr>
      <vt:lpstr>Sheet4</vt:lpstr>
      <vt:lpstr>pad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</dc:creator>
  <cp:lastModifiedBy>91942</cp:lastModifiedBy>
  <dcterms:created xsi:type="dcterms:W3CDTF">2020-11-10T11:52:26Z</dcterms:created>
  <dcterms:modified xsi:type="dcterms:W3CDTF">2022-01-13T11:39:57Z</dcterms:modified>
</cp:coreProperties>
</file>